
<file path=[Content_Types].xml><?xml version="1.0" encoding="utf-8"?>
<Types xmlns="http://schemas.openxmlformats.org/package/2006/content-type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8.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9.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adrienbarnes/Downloads/"/>
    </mc:Choice>
  </mc:AlternateContent>
  <xr:revisionPtr revIDLastSave="0" documentId="8_{000AC886-6262-424D-B8CC-C210B3BF4B67}" xr6:coauthVersionLast="47" xr6:coauthVersionMax="47" xr10:uidLastSave="{00000000-0000-0000-0000-000000000000}"/>
  <bookViews>
    <workbookView xWindow="6280" yWindow="920" windowWidth="29600" windowHeight="23940" activeTab="9" xr2:uid="{B9A41012-6982-F64A-A0B4-C7FBE9341D96}"/>
  </bookViews>
  <sheets>
    <sheet name="1 - Cover Page" sheetId="3" r:id="rId1"/>
    <sheet name="2 - PointsScatter" sheetId="8" r:id="rId2"/>
    <sheet name="3 - Data Collection" sheetId="17" r:id="rId3"/>
    <sheet name="4 - WinLoss Comparison" sheetId="18" r:id="rId4"/>
    <sheet name="5 - Regression" sheetId="19" r:id="rId5"/>
    <sheet name="6 - Conclusion" sheetId="13" r:id="rId6"/>
    <sheet name="Abbrev. Approach" sheetId="15" r:id="rId7"/>
    <sheet name="    #StatsTable" sheetId="1" r:id="rId8"/>
    <sheet name="#PlusMinus v. DRtg" sheetId="11" r:id="rId9"/>
    <sheet name="#AdvStatsExplained" sheetId="4" r:id="rId10"/>
    <sheet name="PivotTable" sheetId="9" r:id="rId11"/>
    <sheet name="DefVisual" sheetId="7" r:id="rId12"/>
  </sheets>
  <definedNames>
    <definedName name="_xlchart.v1.0" hidden="1">'2 - PointsScatter'!#REF!</definedName>
    <definedName name="_xlchart.v1.1" hidden="1">'2 - PointsScatter'!#REF!</definedName>
    <definedName name="_xlchart.v1.10" hidden="1">'2 - PointsScatter'!#REF!</definedName>
    <definedName name="_xlchart.v1.11" hidden="1">'2 - PointsScatter'!#REF!</definedName>
    <definedName name="_xlchart.v1.12" hidden="1">'2 - PointsScatter'!#REF!</definedName>
    <definedName name="_xlchart.v1.13" hidden="1">'2 - PointsScatter'!#REF!</definedName>
    <definedName name="_xlchart.v1.14" hidden="1">'2 - PointsScatter'!#REF!</definedName>
    <definedName name="_xlchart.v1.15" hidden="1">'2 - PointsScatter'!#REF!</definedName>
    <definedName name="_xlchart.v1.16" hidden="1">'2 - PointsScatter'!#REF!</definedName>
    <definedName name="_xlchart.v1.17" hidden="1">'2 - PointsScatter'!#REF!</definedName>
    <definedName name="_xlchart.v1.18" hidden="1">'2 - PointsScatter'!#REF!</definedName>
    <definedName name="_xlchart.v1.19" hidden="1">'2 - PointsScatter'!#REF!</definedName>
    <definedName name="_xlchart.v1.2" hidden="1">'2 - PointsScatter'!#REF!</definedName>
    <definedName name="_xlchart.v1.20" hidden="1">'2 - PointsScatter'!#REF!</definedName>
    <definedName name="_xlchart.v1.21" hidden="1">'2 - PointsScatter'!#REF!</definedName>
    <definedName name="_xlchart.v1.22" hidden="1">'2 - PointsScatter'!#REF!</definedName>
    <definedName name="_xlchart.v1.23" hidden="1">'2 - PointsScatter'!#REF!</definedName>
    <definedName name="_xlchart.v1.24" hidden="1">'2 - PointsScatter'!#REF!</definedName>
    <definedName name="_xlchart.v1.25" hidden="1">'2 - PointsScatter'!#REF!</definedName>
    <definedName name="_xlchart.v1.26" hidden="1">'2 - PointsScatter'!#REF!</definedName>
    <definedName name="_xlchart.v1.27" hidden="1">'2 - PointsScatter'!#REF!</definedName>
    <definedName name="_xlchart.v1.28" hidden="1">'2 - PointsScatter'!#REF!</definedName>
    <definedName name="_xlchart.v1.29" hidden="1">'2 - PointsScatter'!#REF!</definedName>
    <definedName name="_xlchart.v1.3" hidden="1">'2 - PointsScatter'!#REF!</definedName>
    <definedName name="_xlchart.v1.4" hidden="1">'2 - PointsScatter'!#REF!</definedName>
    <definedName name="_xlchart.v1.5" hidden="1">'2 - PointsScatter'!#REF!</definedName>
    <definedName name="_xlchart.v1.6" hidden="1">'2 - PointsScatter'!#REF!</definedName>
    <definedName name="_xlchart.v1.7" hidden="1">'2 - PointsScatter'!#REF!</definedName>
    <definedName name="_xlchart.v1.8" hidden="1">'2 - PointsScatter'!#REF!</definedName>
    <definedName name="_xlchart.v1.9" hidden="1">'2 - PointsScatter'!#REF!</definedName>
    <definedName name="AdvancedStats">'    #StatsTable'!$AO:$BB</definedName>
  </definedNames>
  <calcPr calcId="181029"/>
  <pivotCaches>
    <pivotCache cacheId="29"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85" i="1" l="1"/>
  <c r="T85" i="1"/>
  <c r="U85" i="1"/>
  <c r="V85" i="1"/>
  <c r="W85" i="1"/>
  <c r="X85" i="1"/>
  <c r="Y85" i="1"/>
  <c r="Z85" i="1"/>
  <c r="AA85" i="1"/>
  <c r="AB85" i="1"/>
  <c r="AC85" i="1"/>
  <c r="L85" i="1"/>
  <c r="M85" i="1"/>
  <c r="N85" i="1"/>
  <c r="O85"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85" i="1" s="1"/>
  <c r="K3" i="1"/>
  <c r="K2"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85" i="1" s="1"/>
  <c r="J3" i="1"/>
  <c r="J2" i="1"/>
  <c r="AX88" i="1"/>
  <c r="AX89" i="1"/>
  <c r="AX90" i="1"/>
  <c r="AX91" i="1"/>
  <c r="AX92" i="1"/>
  <c r="R85" i="1"/>
  <c r="AD85" i="1"/>
  <c r="AE85" i="1"/>
  <c r="AF85" i="1"/>
  <c r="AG85" i="1"/>
  <c r="AH85" i="1"/>
  <c r="AI85" i="1"/>
  <c r="AJ85" i="1"/>
  <c r="AK85" i="1"/>
  <c r="AL85" i="1"/>
  <c r="AM85" i="1"/>
  <c r="AN85" i="1"/>
  <c r="P85" i="1"/>
  <c r="Q85" i="1"/>
  <c r="R88" i="1"/>
  <c r="S88" i="1"/>
  <c r="T88" i="1"/>
  <c r="U88" i="1"/>
  <c r="V88" i="1"/>
  <c r="W88" i="1"/>
  <c r="X88" i="1"/>
  <c r="Y88" i="1"/>
  <c r="Z88" i="1"/>
  <c r="AA88" i="1"/>
  <c r="AB88" i="1"/>
  <c r="AC88" i="1"/>
  <c r="AD88" i="1"/>
  <c r="AE88" i="1"/>
  <c r="AF88" i="1"/>
  <c r="AG88" i="1"/>
  <c r="AH88" i="1"/>
  <c r="AI88" i="1"/>
  <c r="AJ88" i="1"/>
  <c r="AK88" i="1"/>
  <c r="AL88" i="1"/>
  <c r="AM88" i="1"/>
  <c r="AN88" i="1"/>
  <c r="AO88" i="1"/>
  <c r="AP88" i="1"/>
  <c r="AQ88" i="1"/>
  <c r="AR88" i="1"/>
  <c r="AS88" i="1"/>
  <c r="AT88" i="1"/>
  <c r="AU88" i="1"/>
  <c r="AV88" i="1"/>
  <c r="AW88" i="1"/>
  <c r="AY88" i="1"/>
  <c r="AZ88" i="1"/>
  <c r="BA88" i="1"/>
  <c r="BB88" i="1"/>
  <c r="R89" i="1"/>
  <c r="S89" i="1"/>
  <c r="T89" i="1"/>
  <c r="U89" i="1"/>
  <c r="V89" i="1"/>
  <c r="W89" i="1"/>
  <c r="X89" i="1"/>
  <c r="Y89" i="1"/>
  <c r="Z89" i="1"/>
  <c r="AA89" i="1"/>
  <c r="AB89" i="1"/>
  <c r="AC89" i="1"/>
  <c r="AD89" i="1"/>
  <c r="AE89" i="1"/>
  <c r="AF89" i="1"/>
  <c r="AG89" i="1"/>
  <c r="AH89" i="1"/>
  <c r="AI89" i="1"/>
  <c r="AJ89" i="1"/>
  <c r="AK89" i="1"/>
  <c r="AL89" i="1"/>
  <c r="AM89" i="1"/>
  <c r="AN89" i="1"/>
  <c r="AO89" i="1"/>
  <c r="AP89" i="1"/>
  <c r="AQ89" i="1"/>
  <c r="AR89" i="1"/>
  <c r="AS89" i="1"/>
  <c r="AT89" i="1"/>
  <c r="AU89" i="1"/>
  <c r="AV89" i="1"/>
  <c r="AW89" i="1"/>
  <c r="AY89" i="1"/>
  <c r="AZ89" i="1"/>
  <c r="BA89" i="1"/>
  <c r="BB89" i="1"/>
  <c r="R90" i="1"/>
  <c r="S90" i="1"/>
  <c r="T90" i="1"/>
  <c r="U90" i="1"/>
  <c r="V90" i="1"/>
  <c r="W90" i="1"/>
  <c r="X90" i="1"/>
  <c r="Y90" i="1"/>
  <c r="Z90" i="1"/>
  <c r="AA90" i="1"/>
  <c r="AB90" i="1"/>
  <c r="AC90" i="1"/>
  <c r="AD90" i="1"/>
  <c r="AE90" i="1"/>
  <c r="AF90" i="1"/>
  <c r="AG90" i="1"/>
  <c r="AH90" i="1"/>
  <c r="AI90" i="1"/>
  <c r="AJ90" i="1"/>
  <c r="AK90" i="1"/>
  <c r="AL90" i="1"/>
  <c r="AM90" i="1"/>
  <c r="AN90" i="1"/>
  <c r="AO90" i="1"/>
  <c r="AP90" i="1"/>
  <c r="AQ90" i="1"/>
  <c r="AR90" i="1"/>
  <c r="AS90" i="1"/>
  <c r="AT90" i="1"/>
  <c r="AU90" i="1"/>
  <c r="AV90" i="1"/>
  <c r="AW90" i="1"/>
  <c r="AY90" i="1"/>
  <c r="AZ90" i="1"/>
  <c r="BA90" i="1"/>
  <c r="BB90" i="1"/>
  <c r="R91" i="1"/>
  <c r="S91" i="1"/>
  <c r="T91" i="1"/>
  <c r="U91" i="1"/>
  <c r="V91" i="1"/>
  <c r="W91" i="1"/>
  <c r="X91" i="1"/>
  <c r="Y91" i="1"/>
  <c r="Z91" i="1"/>
  <c r="AA91" i="1"/>
  <c r="AB91" i="1"/>
  <c r="AC91" i="1"/>
  <c r="AD91" i="1"/>
  <c r="AE91" i="1"/>
  <c r="AF91" i="1"/>
  <c r="AG91" i="1"/>
  <c r="AH91" i="1"/>
  <c r="AI91" i="1"/>
  <c r="AJ91" i="1"/>
  <c r="AK91" i="1"/>
  <c r="AL91" i="1"/>
  <c r="AM91" i="1"/>
  <c r="AN91" i="1"/>
  <c r="AO91" i="1"/>
  <c r="AP91" i="1"/>
  <c r="AQ91" i="1"/>
  <c r="AR91" i="1"/>
  <c r="AS91" i="1"/>
  <c r="AT91" i="1"/>
  <c r="AU91" i="1"/>
  <c r="AV91" i="1"/>
  <c r="AW91" i="1"/>
  <c r="AY91" i="1"/>
  <c r="AZ91" i="1"/>
  <c r="BA91" i="1"/>
  <c r="BB91" i="1"/>
  <c r="R92" i="1"/>
  <c r="S92" i="1"/>
  <c r="T92" i="1"/>
  <c r="U92" i="1"/>
  <c r="V92" i="1"/>
  <c r="W92" i="1"/>
  <c r="X92" i="1"/>
  <c r="Y92" i="1"/>
  <c r="Z92" i="1"/>
  <c r="AA92" i="1"/>
  <c r="AB92" i="1"/>
  <c r="AC92" i="1"/>
  <c r="AD92" i="1"/>
  <c r="AE92" i="1"/>
  <c r="AF92" i="1"/>
  <c r="AG92" i="1"/>
  <c r="AH92" i="1"/>
  <c r="AI92" i="1"/>
  <c r="AJ92" i="1"/>
  <c r="AK92" i="1"/>
  <c r="AL92" i="1"/>
  <c r="AM92" i="1"/>
  <c r="AN92" i="1"/>
  <c r="AO92" i="1"/>
  <c r="AP92" i="1"/>
  <c r="AQ92" i="1"/>
  <c r="AR92" i="1"/>
  <c r="AS92" i="1"/>
  <c r="AT92" i="1"/>
  <c r="AU92" i="1"/>
  <c r="AV92" i="1"/>
  <c r="AW92" i="1"/>
  <c r="AY92" i="1"/>
  <c r="AZ92" i="1"/>
  <c r="BA92" i="1"/>
  <c r="BB92" i="1"/>
  <c r="Q92" i="1"/>
  <c r="Q91" i="1"/>
  <c r="Q90" i="1"/>
  <c r="Q89" i="1"/>
  <c r="Q88" i="1"/>
  <c r="P92" i="1"/>
  <c r="P91" i="1"/>
  <c r="P90" i="1"/>
  <c r="P89" i="1"/>
  <c r="P88" i="1"/>
  <c r="L2" i="1"/>
  <c r="L3" i="1"/>
  <c r="M3" i="1" s="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R103" i="1" l="1"/>
  <c r="AX97" i="1"/>
  <c r="P97" i="1"/>
  <c r="Q103" i="1"/>
  <c r="AX106" i="1"/>
  <c r="AP106" i="1"/>
  <c r="AH106" i="1"/>
  <c r="Z106" i="1"/>
  <c r="R106" i="1"/>
  <c r="AU105" i="1"/>
  <c r="AM105" i="1"/>
  <c r="AE105" i="1"/>
  <c r="W105" i="1"/>
  <c r="AZ104" i="1"/>
  <c r="AR104" i="1"/>
  <c r="AJ104" i="1"/>
  <c r="AB104" i="1"/>
  <c r="T104" i="1"/>
  <c r="AW103" i="1"/>
  <c r="AO103" i="1"/>
  <c r="AG103" i="1"/>
  <c r="Y103" i="1"/>
  <c r="AX96" i="1"/>
  <c r="P98" i="1"/>
  <c r="Q104" i="1"/>
  <c r="AW106" i="1"/>
  <c r="AO106" i="1"/>
  <c r="AG106" i="1"/>
  <c r="Y106" i="1"/>
  <c r="BB105" i="1"/>
  <c r="AT105" i="1"/>
  <c r="AL105" i="1"/>
  <c r="AD105" i="1"/>
  <c r="V105" i="1"/>
  <c r="AY104" i="1"/>
  <c r="AQ104" i="1"/>
  <c r="AI104" i="1"/>
  <c r="AA104" i="1"/>
  <c r="S104" i="1"/>
  <c r="AV103" i="1"/>
  <c r="AN103" i="1"/>
  <c r="AF103" i="1"/>
  <c r="X103" i="1"/>
  <c r="P99" i="1"/>
  <c r="Q105" i="1"/>
  <c r="AV106" i="1"/>
  <c r="AN106" i="1"/>
  <c r="AF106" i="1"/>
  <c r="X106" i="1"/>
  <c r="BA105" i="1"/>
  <c r="AS105" i="1"/>
  <c r="AK105" i="1"/>
  <c r="AC105" i="1"/>
  <c r="U105" i="1"/>
  <c r="AX104" i="1"/>
  <c r="AP104" i="1"/>
  <c r="AH104" i="1"/>
  <c r="Z104" i="1"/>
  <c r="R104" i="1"/>
  <c r="AU103" i="1"/>
  <c r="AM103" i="1"/>
  <c r="AE103" i="1"/>
  <c r="W103" i="1"/>
  <c r="P104" i="1"/>
  <c r="Q106" i="1"/>
  <c r="AU106" i="1"/>
  <c r="AM106" i="1"/>
  <c r="AE106" i="1"/>
  <c r="W106" i="1"/>
  <c r="AZ105" i="1"/>
  <c r="AR105" i="1"/>
  <c r="AJ105" i="1"/>
  <c r="AB105" i="1"/>
  <c r="T105" i="1"/>
  <c r="AW104" i="1"/>
  <c r="AO104" i="1"/>
  <c r="AG104" i="1"/>
  <c r="Y104" i="1"/>
  <c r="BB103" i="1"/>
  <c r="AT103" i="1"/>
  <c r="AL103" i="1"/>
  <c r="AD103" i="1"/>
  <c r="V103" i="1"/>
  <c r="P105" i="1"/>
  <c r="BB106" i="1"/>
  <c r="AT106" i="1"/>
  <c r="AL106" i="1"/>
  <c r="AD106" i="1"/>
  <c r="V106" i="1"/>
  <c r="AY105" i="1"/>
  <c r="AQ105" i="1"/>
  <c r="AI105" i="1"/>
  <c r="AA105" i="1"/>
  <c r="S105" i="1"/>
  <c r="AV104" i="1"/>
  <c r="AN104" i="1"/>
  <c r="AF104" i="1"/>
  <c r="X104" i="1"/>
  <c r="BA103" i="1"/>
  <c r="AS103" i="1"/>
  <c r="AK103" i="1"/>
  <c r="AC103" i="1"/>
  <c r="U103" i="1"/>
  <c r="P106" i="1"/>
  <c r="BA106" i="1"/>
  <c r="AS106" i="1"/>
  <c r="AK106" i="1"/>
  <c r="AC106" i="1"/>
  <c r="U106" i="1"/>
  <c r="AX105" i="1"/>
  <c r="AP105" i="1"/>
  <c r="AH105" i="1"/>
  <c r="Z105" i="1"/>
  <c r="R105" i="1"/>
  <c r="AU104" i="1"/>
  <c r="AM104" i="1"/>
  <c r="AE104" i="1"/>
  <c r="W104" i="1"/>
  <c r="AZ103" i="1"/>
  <c r="AR103" i="1"/>
  <c r="AJ103" i="1"/>
  <c r="AB103" i="1"/>
  <c r="T103" i="1"/>
  <c r="AZ106" i="1"/>
  <c r="AR106" i="1"/>
  <c r="AB106" i="1"/>
  <c r="T106" i="1"/>
  <c r="AW105" i="1"/>
  <c r="AO105" i="1"/>
  <c r="AG105" i="1"/>
  <c r="Y105" i="1"/>
  <c r="BB104" i="1"/>
  <c r="AT104" i="1"/>
  <c r="AL104" i="1"/>
  <c r="AD104" i="1"/>
  <c r="V104" i="1"/>
  <c r="AY103" i="1"/>
  <c r="AQ103" i="1"/>
  <c r="AI103" i="1"/>
  <c r="AA103" i="1"/>
  <c r="S103" i="1"/>
  <c r="AX99" i="1"/>
  <c r="AJ106" i="1"/>
  <c r="AX98" i="1"/>
  <c r="P96" i="1"/>
  <c r="P110" i="1" s="1"/>
  <c r="P103" i="1"/>
  <c r="AY106" i="1"/>
  <c r="AQ106" i="1"/>
  <c r="AI106" i="1"/>
  <c r="AA106" i="1"/>
  <c r="S106" i="1"/>
  <c r="AV105" i="1"/>
  <c r="AN105" i="1"/>
  <c r="AF105" i="1"/>
  <c r="X105" i="1"/>
  <c r="BA104" i="1"/>
  <c r="AS104" i="1"/>
  <c r="AK104" i="1"/>
  <c r="AC104" i="1"/>
  <c r="U104" i="1"/>
  <c r="AX103" i="1"/>
  <c r="AX110" i="1" s="1"/>
  <c r="AP103" i="1"/>
  <c r="AH103" i="1"/>
  <c r="Z103" i="1"/>
  <c r="AX113" i="1"/>
  <c r="AX112" i="1"/>
  <c r="R96" i="1"/>
  <c r="R110" i="1" s="1"/>
  <c r="Q96" i="1"/>
  <c r="Q110" i="1" s="1"/>
  <c r="AP99" i="1"/>
  <c r="AP113" i="1" s="1"/>
  <c r="AH99" i="1"/>
  <c r="AH113" i="1" s="1"/>
  <c r="Z99" i="1"/>
  <c r="Z113" i="1" s="1"/>
  <c r="R99" i="1"/>
  <c r="R113" i="1" s="1"/>
  <c r="AU98" i="1"/>
  <c r="AU112" i="1" s="1"/>
  <c r="AM98" i="1"/>
  <c r="AM112" i="1" s="1"/>
  <c r="AE98" i="1"/>
  <c r="AE112" i="1" s="1"/>
  <c r="W98" i="1"/>
  <c r="W112" i="1" s="1"/>
  <c r="AZ97" i="1"/>
  <c r="AZ111" i="1" s="1"/>
  <c r="AR97" i="1"/>
  <c r="AR111" i="1" s="1"/>
  <c r="AJ97" i="1"/>
  <c r="AJ111" i="1" s="1"/>
  <c r="AB97" i="1"/>
  <c r="AB111" i="1" s="1"/>
  <c r="T97" i="1"/>
  <c r="T111" i="1" s="1"/>
  <c r="AW96" i="1"/>
  <c r="AW110" i="1" s="1"/>
  <c r="AO96" i="1"/>
  <c r="AO110" i="1" s="1"/>
  <c r="AG96" i="1"/>
  <c r="AG110" i="1" s="1"/>
  <c r="Y96" i="1"/>
  <c r="Y110" i="1" s="1"/>
  <c r="Q97" i="1"/>
  <c r="Q111" i="1" s="1"/>
  <c r="AW99" i="1"/>
  <c r="AW113" i="1" s="1"/>
  <c r="AO99" i="1"/>
  <c r="AO113" i="1" s="1"/>
  <c r="AG99" i="1"/>
  <c r="AG113" i="1" s="1"/>
  <c r="Y99" i="1"/>
  <c r="Y113" i="1" s="1"/>
  <c r="BB98" i="1"/>
  <c r="BB112" i="1" s="1"/>
  <c r="AT98" i="1"/>
  <c r="AT112" i="1" s="1"/>
  <c r="AL98" i="1"/>
  <c r="AL112" i="1" s="1"/>
  <c r="AD98" i="1"/>
  <c r="AD112" i="1" s="1"/>
  <c r="V98" i="1"/>
  <c r="V112" i="1" s="1"/>
  <c r="AY97" i="1"/>
  <c r="AY111" i="1" s="1"/>
  <c r="AQ97" i="1"/>
  <c r="AQ111" i="1" s="1"/>
  <c r="AI97" i="1"/>
  <c r="AI111" i="1" s="1"/>
  <c r="AA97" i="1"/>
  <c r="AA111" i="1" s="1"/>
  <c r="S97" i="1"/>
  <c r="S111" i="1" s="1"/>
  <c r="AV96" i="1"/>
  <c r="AV110" i="1" s="1"/>
  <c r="AN96" i="1"/>
  <c r="AF96" i="1"/>
  <c r="AF110" i="1" s="1"/>
  <c r="X96" i="1"/>
  <c r="X110" i="1" s="1"/>
  <c r="Q98" i="1"/>
  <c r="Q112" i="1" s="1"/>
  <c r="AV99" i="1"/>
  <c r="AV113" i="1" s="1"/>
  <c r="AN99" i="1"/>
  <c r="AN113" i="1" s="1"/>
  <c r="AF99" i="1"/>
  <c r="AF113" i="1" s="1"/>
  <c r="X99" i="1"/>
  <c r="BA98" i="1"/>
  <c r="BA112" i="1" s="1"/>
  <c r="AS98" i="1"/>
  <c r="AS112" i="1" s="1"/>
  <c r="AK98" i="1"/>
  <c r="AK112" i="1" s="1"/>
  <c r="AC98" i="1"/>
  <c r="AC112" i="1" s="1"/>
  <c r="U98" i="1"/>
  <c r="U112" i="1" s="1"/>
  <c r="AP97" i="1"/>
  <c r="AP111" i="1" s="1"/>
  <c r="AH97" i="1"/>
  <c r="Z97" i="1"/>
  <c r="Z111" i="1" s="1"/>
  <c r="R97" i="1"/>
  <c r="R111" i="1" s="1"/>
  <c r="AU96" i="1"/>
  <c r="AU110" i="1" s="1"/>
  <c r="AM96" i="1"/>
  <c r="AM110" i="1" s="1"/>
  <c r="AE96" i="1"/>
  <c r="AE110" i="1" s="1"/>
  <c r="W96" i="1"/>
  <c r="W110" i="1" s="1"/>
  <c r="Q99" i="1"/>
  <c r="Q113" i="1" s="1"/>
  <c r="AU99" i="1"/>
  <c r="AU113" i="1" s="1"/>
  <c r="AM99" i="1"/>
  <c r="AM113" i="1" s="1"/>
  <c r="AE99" i="1"/>
  <c r="AE113" i="1" s="1"/>
  <c r="W99" i="1"/>
  <c r="W113" i="1" s="1"/>
  <c r="AZ98" i="1"/>
  <c r="AZ112" i="1" s="1"/>
  <c r="AR98" i="1"/>
  <c r="AR112" i="1" s="1"/>
  <c r="AJ98" i="1"/>
  <c r="AJ112" i="1" s="1"/>
  <c r="AB98" i="1"/>
  <c r="AB112" i="1" s="1"/>
  <c r="T98" i="1"/>
  <c r="T112" i="1" s="1"/>
  <c r="AW97" i="1"/>
  <c r="AW111" i="1" s="1"/>
  <c r="AO97" i="1"/>
  <c r="AO111" i="1" s="1"/>
  <c r="AG97" i="1"/>
  <c r="AG111" i="1" s="1"/>
  <c r="Y97" i="1"/>
  <c r="Y111" i="1" s="1"/>
  <c r="BB96" i="1"/>
  <c r="BB110" i="1" s="1"/>
  <c r="AT96" i="1"/>
  <c r="AT110" i="1" s="1"/>
  <c r="AL96" i="1"/>
  <c r="AL110" i="1" s="1"/>
  <c r="AD96" i="1"/>
  <c r="AD110" i="1" s="1"/>
  <c r="V96" i="1"/>
  <c r="V110" i="1" s="1"/>
  <c r="BB99" i="1"/>
  <c r="AT99" i="1"/>
  <c r="AT113" i="1" s="1"/>
  <c r="AL99" i="1"/>
  <c r="AL113" i="1" s="1"/>
  <c r="AD99" i="1"/>
  <c r="AD113" i="1" s="1"/>
  <c r="V99" i="1"/>
  <c r="V113" i="1" s="1"/>
  <c r="AY98" i="1"/>
  <c r="AY112" i="1" s="1"/>
  <c r="AQ98" i="1"/>
  <c r="AQ112" i="1" s="1"/>
  <c r="AI98" i="1"/>
  <c r="AI112" i="1" s="1"/>
  <c r="AA98" i="1"/>
  <c r="S98" i="1"/>
  <c r="S112" i="1" s="1"/>
  <c r="AV97" i="1"/>
  <c r="AV111" i="1" s="1"/>
  <c r="AN97" i="1"/>
  <c r="AN111" i="1" s="1"/>
  <c r="AF97" i="1"/>
  <c r="AF111" i="1" s="1"/>
  <c r="X97" i="1"/>
  <c r="X111" i="1" s="1"/>
  <c r="BA96" i="1"/>
  <c r="BA110" i="1" s="1"/>
  <c r="AS96" i="1"/>
  <c r="AS110" i="1" s="1"/>
  <c r="AK96" i="1"/>
  <c r="AC96" i="1"/>
  <c r="AC110" i="1" s="1"/>
  <c r="U96" i="1"/>
  <c r="U110" i="1" s="1"/>
  <c r="BA99" i="1"/>
  <c r="BA113" i="1" s="1"/>
  <c r="AS99" i="1"/>
  <c r="AS113" i="1" s="1"/>
  <c r="AK99" i="1"/>
  <c r="AK113" i="1" s="1"/>
  <c r="AC99" i="1"/>
  <c r="AC113" i="1" s="1"/>
  <c r="U99" i="1"/>
  <c r="AP98" i="1"/>
  <c r="AP112" i="1" s="1"/>
  <c r="AH98" i="1"/>
  <c r="AH112" i="1" s="1"/>
  <c r="Z98" i="1"/>
  <c r="R98" i="1"/>
  <c r="R112" i="1" s="1"/>
  <c r="AU97" i="1"/>
  <c r="AU111" i="1" s="1"/>
  <c r="AM97" i="1"/>
  <c r="AM111" i="1" s="1"/>
  <c r="AE97" i="1"/>
  <c r="W97" i="1"/>
  <c r="W111" i="1" s="1"/>
  <c r="AZ96" i="1"/>
  <c r="AZ110" i="1" s="1"/>
  <c r="AR96" i="1"/>
  <c r="AR110" i="1" s="1"/>
  <c r="AJ96" i="1"/>
  <c r="AB96" i="1"/>
  <c r="AB110" i="1" s="1"/>
  <c r="T96" i="1"/>
  <c r="T110" i="1" s="1"/>
  <c r="AZ99" i="1"/>
  <c r="AZ113" i="1" s="1"/>
  <c r="AR99" i="1"/>
  <c r="AJ99" i="1"/>
  <c r="AB99" i="1"/>
  <c r="AB113" i="1" s="1"/>
  <c r="T99" i="1"/>
  <c r="T113" i="1" s="1"/>
  <c r="AW98" i="1"/>
  <c r="AW112" i="1" s="1"/>
  <c r="AO98" i="1"/>
  <c r="AG98" i="1"/>
  <c r="AG112" i="1" s="1"/>
  <c r="Y98" i="1"/>
  <c r="Y112" i="1" s="1"/>
  <c r="BB97" i="1"/>
  <c r="BB111" i="1" s="1"/>
  <c r="AT97" i="1"/>
  <c r="AL97" i="1"/>
  <c r="AD97" i="1"/>
  <c r="AD111" i="1" s="1"/>
  <c r="V97" i="1"/>
  <c r="V111" i="1" s="1"/>
  <c r="AY96" i="1"/>
  <c r="AQ96" i="1"/>
  <c r="AQ110" i="1" s="1"/>
  <c r="AI96" i="1"/>
  <c r="AI110" i="1" s="1"/>
  <c r="AA96" i="1"/>
  <c r="AA110" i="1" s="1"/>
  <c r="S96" i="1"/>
  <c r="AY99" i="1"/>
  <c r="AY113" i="1" s="1"/>
  <c r="AQ99" i="1"/>
  <c r="AQ113" i="1" s="1"/>
  <c r="AI99" i="1"/>
  <c r="AI113" i="1" s="1"/>
  <c r="AA99" i="1"/>
  <c r="AA113" i="1" s="1"/>
  <c r="S99" i="1"/>
  <c r="S113" i="1" s="1"/>
  <c r="AV98" i="1"/>
  <c r="AV112" i="1" s="1"/>
  <c r="AN98" i="1"/>
  <c r="AF98" i="1"/>
  <c r="AF112" i="1" s="1"/>
  <c r="X98" i="1"/>
  <c r="X112" i="1" s="1"/>
  <c r="BA97" i="1"/>
  <c r="BA111" i="1" s="1"/>
  <c r="AS97" i="1"/>
  <c r="AS111" i="1" s="1"/>
  <c r="AK97" i="1"/>
  <c r="AK111" i="1" s="1"/>
  <c r="AC97" i="1"/>
  <c r="AC111" i="1" s="1"/>
  <c r="U97" i="1"/>
  <c r="U111" i="1" s="1"/>
  <c r="AP96" i="1"/>
  <c r="AP110" i="1" s="1"/>
  <c r="AH96" i="1"/>
  <c r="AH110" i="1" s="1"/>
  <c r="Z96" i="1"/>
  <c r="Z110" i="1" s="1"/>
  <c r="N3" i="1"/>
  <c r="N4" i="1" s="1"/>
  <c r="N5" i="1" s="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M4" i="1"/>
  <c r="M5" i="1" s="1"/>
  <c r="M6" i="1" s="1"/>
  <c r="M7" i="1" s="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82" i="1" s="1"/>
  <c r="M83" i="1" s="1"/>
  <c r="P112" i="1" l="1"/>
  <c r="AL111" i="1"/>
  <c r="AK110" i="1"/>
  <c r="AA112" i="1"/>
  <c r="BB113" i="1"/>
  <c r="AN110" i="1"/>
  <c r="P113" i="1"/>
  <c r="AY110" i="1"/>
  <c r="AJ110" i="1"/>
  <c r="S110" i="1"/>
  <c r="AT111" i="1"/>
  <c r="AJ113" i="1"/>
  <c r="U113" i="1"/>
  <c r="X113" i="1"/>
  <c r="P111" i="1"/>
  <c r="AO112" i="1"/>
  <c r="Z112" i="1"/>
  <c r="AN112" i="1"/>
  <c r="AR113" i="1"/>
  <c r="AE111" i="1"/>
  <c r="AH111" i="1"/>
  <c r="AX111" i="1"/>
</calcChain>
</file>

<file path=xl/sharedStrings.xml><?xml version="1.0" encoding="utf-8"?>
<sst xmlns="http://schemas.openxmlformats.org/spreadsheetml/2006/main" count="1070" uniqueCount="261">
  <si>
    <t>*</t>
  </si>
  <si>
    <t>W, 126-111</t>
  </si>
  <si>
    <t>HOU</t>
  </si>
  <si>
    <t>@</t>
  </si>
  <si>
    <t>DEN</t>
  </si>
  <si>
    <t>W, 117-109</t>
  </si>
  <si>
    <t>MEM</t>
  </si>
  <si>
    <t>W, 124-116</t>
  </si>
  <si>
    <t>SAC</t>
  </si>
  <si>
    <t>L, 120-125</t>
  </si>
  <si>
    <t>IND</t>
  </si>
  <si>
    <t>L, 104-118</t>
  </si>
  <si>
    <t>GSW</t>
  </si>
  <si>
    <t>Inactive</t>
  </si>
  <si>
    <t>L, 106-113</t>
  </si>
  <si>
    <t>SAS</t>
  </si>
  <si>
    <t>L, 139-140 (2OT)</t>
  </si>
  <si>
    <t>MIN</t>
  </si>
  <si>
    <t>W, 129-93</t>
  </si>
  <si>
    <t>UTA</t>
  </si>
  <si>
    <t>W, 127-117</t>
  </si>
  <si>
    <t>MIL</t>
  </si>
  <si>
    <t>L, 119-129</t>
  </si>
  <si>
    <t>CHI</t>
  </si>
  <si>
    <t>W, 116-111</t>
  </si>
  <si>
    <t>L, 109-128</t>
  </si>
  <si>
    <t>POR</t>
  </si>
  <si>
    <t>L, 108-120</t>
  </si>
  <si>
    <t>LAL</t>
  </si>
  <si>
    <t>W, 114-105</t>
  </si>
  <si>
    <t>L, 123-126</t>
  </si>
  <si>
    <t>WAS</t>
  </si>
  <si>
    <t>W, 131-126</t>
  </si>
  <si>
    <t>L, 95-115</t>
  </si>
  <si>
    <t>W, 140-127</t>
  </si>
  <si>
    <t>OKC</t>
  </si>
  <si>
    <t>L, 103-127</t>
  </si>
  <si>
    <t>W, 149-141 (OT)</t>
  </si>
  <si>
    <t>PHO</t>
  </si>
  <si>
    <t>W, 116-110</t>
  </si>
  <si>
    <t>L, 103-110</t>
  </si>
  <si>
    <t>BOS</t>
  </si>
  <si>
    <t>W, 134-119</t>
  </si>
  <si>
    <t>DET</t>
  </si>
  <si>
    <t>L, 112-121</t>
  </si>
  <si>
    <t>W, 125-116</t>
  </si>
  <si>
    <t>L, 100-123</t>
  </si>
  <si>
    <t>W, 129-115</t>
  </si>
  <si>
    <t>CHO</t>
  </si>
  <si>
    <t>W, 132-121</t>
  </si>
  <si>
    <t>W, 146-117</t>
  </si>
  <si>
    <t>W, 122-105</t>
  </si>
  <si>
    <t>W, 112-90</t>
  </si>
  <si>
    <t>ORL</t>
  </si>
  <si>
    <t>W, 144-119</t>
  </si>
  <si>
    <t>NOP</t>
  </si>
  <si>
    <t>W, 125-113</t>
  </si>
  <si>
    <t>W, 107-104</t>
  </si>
  <si>
    <t>W, 137-134</t>
  </si>
  <si>
    <t>PHI</t>
  </si>
  <si>
    <t>L, 112-122</t>
  </si>
  <si>
    <t>NYK</t>
  </si>
  <si>
    <t>L, 121-129</t>
  </si>
  <si>
    <t>L, 104-133</t>
  </si>
  <si>
    <t>W, 132-123</t>
  </si>
  <si>
    <t>W, 144-109</t>
  </si>
  <si>
    <t>W, 113-100</t>
  </si>
  <si>
    <t>W, 133-113</t>
  </si>
  <si>
    <t>MIA</t>
  </si>
  <si>
    <t>L, 108-128</t>
  </si>
  <si>
    <t>W, 118-99</t>
  </si>
  <si>
    <t>DAL</t>
  </si>
  <si>
    <t>W, 112-101</t>
  </si>
  <si>
    <t>W, 124-105</t>
  </si>
  <si>
    <t>BRK</t>
  </si>
  <si>
    <t>W, 126-103</t>
  </si>
  <si>
    <t>LAC</t>
  </si>
  <si>
    <t>L, 106-118</t>
  </si>
  <si>
    <t>W, 122-111 (OT)</t>
  </si>
  <si>
    <t>L, 110-113</t>
  </si>
  <si>
    <t>W, 139-120</t>
  </si>
  <si>
    <t>ATL</t>
  </si>
  <si>
    <t>W, 134-121</t>
  </si>
  <si>
    <t>L, 135-149</t>
  </si>
  <si>
    <t>CLE</t>
  </si>
  <si>
    <t>L, 100-110</t>
  </si>
  <si>
    <t>W, 117-90</t>
  </si>
  <si>
    <t>W, 132-129 (OT)</t>
  </si>
  <si>
    <t>L, 124-126</t>
  </si>
  <si>
    <t>W, 130-129</t>
  </si>
  <si>
    <t>W, 120-98</t>
  </si>
  <si>
    <t>W, 141-111</t>
  </si>
  <si>
    <t>L, 113-122</t>
  </si>
  <si>
    <t>L, 114-126</t>
  </si>
  <si>
    <t>W, 119-115</t>
  </si>
  <si>
    <t>L, 122-126</t>
  </si>
  <si>
    <t>W, 122-103</t>
  </si>
  <si>
    <t>L, 118-145</t>
  </si>
  <si>
    <t>W, 127-102</t>
  </si>
  <si>
    <t>L, 120-123</t>
  </si>
  <si>
    <t>W, 122-110</t>
  </si>
  <si>
    <t>L, 90-105</t>
  </si>
  <si>
    <t>L, 94-101</t>
  </si>
  <si>
    <t>W, 122-120</t>
  </si>
  <si>
    <t>W, 135-122</t>
  </si>
  <si>
    <t>W, 124-122</t>
  </si>
  <si>
    <t>W, 121-119</t>
  </si>
  <si>
    <t>TOR</t>
  </si>
  <si>
    <t>W, 129-103</t>
  </si>
  <si>
    <t>L, 116-119</t>
  </si>
  <si>
    <t>W, 144-139 (OT)</t>
  </si>
  <si>
    <t>W, 127-125 (OT)</t>
  </si>
  <si>
    <t>L, 104-109</t>
  </si>
  <si>
    <t>L, 87-102</t>
  </si>
  <si>
    <t>+/-</t>
  </si>
  <si>
    <t>GmSc</t>
  </si>
  <si>
    <t>PTS</t>
  </si>
  <si>
    <t>PF</t>
  </si>
  <si>
    <t>TOV</t>
  </si>
  <si>
    <t>BLK</t>
  </si>
  <si>
    <t>STL</t>
  </si>
  <si>
    <t>AST</t>
  </si>
  <si>
    <t>TRB</t>
  </si>
  <si>
    <t>DRB</t>
  </si>
  <si>
    <t>ORB</t>
  </si>
  <si>
    <t>FT%</t>
  </si>
  <si>
    <t>FTA</t>
  </si>
  <si>
    <t>FT</t>
  </si>
  <si>
    <t>eFG%</t>
  </si>
  <si>
    <t>2P%</t>
  </si>
  <si>
    <t>2PA</t>
  </si>
  <si>
    <t>2P</t>
  </si>
  <si>
    <t>3P%</t>
  </si>
  <si>
    <t>3PA</t>
  </si>
  <si>
    <t>3P</t>
  </si>
  <si>
    <t>FG%</t>
  </si>
  <si>
    <t>FGA</t>
  </si>
  <si>
    <t>FG</t>
  </si>
  <si>
    <t>MP</t>
  </si>
  <si>
    <t>GS</t>
  </si>
  <si>
    <t>Result</t>
  </si>
  <si>
    <t>Opp</t>
  </si>
  <si>
    <t>Team</t>
  </si>
  <si>
    <t>Date</t>
  </si>
  <si>
    <t>Gcar</t>
  </si>
  <si>
    <t>BPM</t>
  </si>
  <si>
    <t>DRtg</t>
  </si>
  <si>
    <t>ORtg</t>
  </si>
  <si>
    <t>USG%</t>
  </si>
  <si>
    <t>TOV%</t>
  </si>
  <si>
    <t>BLK%</t>
  </si>
  <si>
    <t>STL%</t>
  </si>
  <si>
    <t>AST%</t>
  </si>
  <si>
    <t>TRB%</t>
  </si>
  <si>
    <t>DRB%</t>
  </si>
  <si>
    <t>ORB%</t>
  </si>
  <si>
    <t>TS%</t>
  </si>
  <si>
    <t>eFG%2</t>
  </si>
  <si>
    <t>GmSc3</t>
  </si>
  <si>
    <t>Home/Away</t>
  </si>
  <si>
    <t>Gplayed</t>
  </si>
  <si>
    <t>Gseason</t>
  </si>
  <si>
    <t>W/L</t>
  </si>
  <si>
    <t>CumulW</t>
  </si>
  <si>
    <t>CumulL</t>
  </si>
  <si>
    <t>High</t>
  </si>
  <si>
    <t xml:space="preserve">Low </t>
  </si>
  <si>
    <t>Median</t>
  </si>
  <si>
    <t>Mean</t>
  </si>
  <si>
    <t>Mode</t>
  </si>
  <si>
    <t>In Wins</t>
  </si>
  <si>
    <t>In Losses</t>
  </si>
  <si>
    <r>
      <t>TS%</t>
    </r>
    <r>
      <rPr>
        <sz val="14"/>
        <color rgb="FF000000"/>
        <rFont val="Helvetica Neue"/>
        <family val="2"/>
      </rPr>
      <t> -- </t>
    </r>
    <r>
      <rPr>
        <b/>
        <sz val="14"/>
        <color rgb="FF000000"/>
        <rFont val="Helvetica Neue"/>
        <family val="2"/>
      </rPr>
      <t>True Shooting Percentage</t>
    </r>
  </si>
  <si>
    <t>A measure of shooting efficiency that takes into account 2-point field goals, 3-point field goals, and free throws.</t>
  </si>
  <si>
    <r>
      <t>eFG%</t>
    </r>
    <r>
      <rPr>
        <sz val="14"/>
        <color rgb="FF000000"/>
        <rFont val="Helvetica Neue"/>
        <family val="2"/>
      </rPr>
      <t> -- </t>
    </r>
    <r>
      <rPr>
        <b/>
        <sz val="14"/>
        <color rgb="FF000000"/>
        <rFont val="Helvetica Neue"/>
        <family val="2"/>
      </rPr>
      <t>Effective Field Goal Percentage</t>
    </r>
  </si>
  <si>
    <t>This statistic adjusts for the fact that a 3-point field goal is worth one more point than a 2-point field goal.</t>
  </si>
  <si>
    <r>
      <t>ORB%</t>
    </r>
    <r>
      <rPr>
        <sz val="14"/>
        <color rgb="FF000000"/>
        <rFont val="Helvetica Neue"/>
        <family val="2"/>
      </rPr>
      <t> -- </t>
    </r>
    <r>
      <rPr>
        <b/>
        <sz val="14"/>
        <color rgb="FF000000"/>
        <rFont val="Helvetica Neue"/>
        <family val="2"/>
      </rPr>
      <t>Offensive Rebound Percentage</t>
    </r>
  </si>
  <si>
    <t>An estimate of the percentage of available offensive rebounds a player grabbed while they were on the floor.</t>
  </si>
  <si>
    <r>
      <t>DRB%</t>
    </r>
    <r>
      <rPr>
        <sz val="14"/>
        <color rgb="FF000000"/>
        <rFont val="Helvetica Neue"/>
        <family val="2"/>
      </rPr>
      <t> -- </t>
    </r>
    <r>
      <rPr>
        <b/>
        <sz val="14"/>
        <color rgb="FF000000"/>
        <rFont val="Helvetica Neue"/>
        <family val="2"/>
      </rPr>
      <t>Defensive Rebound Percentage</t>
    </r>
  </si>
  <si>
    <t>An estimate of the percentage of available defensive rebounds a player grabbed while they were on the floor.</t>
  </si>
  <si>
    <r>
      <t>TRB%</t>
    </r>
    <r>
      <rPr>
        <sz val="14"/>
        <color rgb="FF000000"/>
        <rFont val="Helvetica Neue"/>
        <family val="2"/>
      </rPr>
      <t> -- </t>
    </r>
    <r>
      <rPr>
        <b/>
        <sz val="14"/>
        <color rgb="FF000000"/>
        <rFont val="Helvetica Neue"/>
        <family val="2"/>
      </rPr>
      <t>Total Rebound Percentage</t>
    </r>
  </si>
  <si>
    <t>An estimate of the percentage of available rebounds a player grabbed while they were on the floor.</t>
  </si>
  <si>
    <r>
      <t>AST%</t>
    </r>
    <r>
      <rPr>
        <sz val="14"/>
        <color rgb="FF000000"/>
        <rFont val="Helvetica Neue"/>
        <family val="2"/>
      </rPr>
      <t> -- </t>
    </r>
    <r>
      <rPr>
        <b/>
        <sz val="14"/>
        <color rgb="FF000000"/>
        <rFont val="Helvetica Neue"/>
        <family val="2"/>
      </rPr>
      <t>Assist Percentage</t>
    </r>
  </si>
  <si>
    <t>An estimate of the percentage of teammate field goals a player assisted while they were on the floor.</t>
  </si>
  <si>
    <r>
      <t>STL%</t>
    </r>
    <r>
      <rPr>
        <sz val="14"/>
        <color rgb="FF000000"/>
        <rFont val="Helvetica Neue"/>
        <family val="2"/>
      </rPr>
      <t> -- </t>
    </r>
    <r>
      <rPr>
        <b/>
        <sz val="14"/>
        <color rgb="FF000000"/>
        <rFont val="Helvetica Neue"/>
        <family val="2"/>
      </rPr>
      <t>Steal Percentage</t>
    </r>
  </si>
  <si>
    <t>An estimate of the percentage of opponent possessions that end with a steal by the player while they were on the floor.</t>
  </si>
  <si>
    <r>
      <t>BLK%</t>
    </r>
    <r>
      <rPr>
        <sz val="14"/>
        <color rgb="FF000000"/>
        <rFont val="Helvetica Neue"/>
        <family val="2"/>
      </rPr>
      <t> -- </t>
    </r>
    <r>
      <rPr>
        <b/>
        <sz val="14"/>
        <color rgb="FF000000"/>
        <rFont val="Helvetica Neue"/>
        <family val="2"/>
      </rPr>
      <t>Block Percentage</t>
    </r>
  </si>
  <si>
    <t>An estimate of the percentage of opponent two-point field goal attempts blocked by the player while they were on the floor.</t>
  </si>
  <si>
    <r>
      <t>TOV%</t>
    </r>
    <r>
      <rPr>
        <sz val="14"/>
        <color rgb="FF000000"/>
        <rFont val="Helvetica Neue"/>
        <family val="2"/>
      </rPr>
      <t> -- </t>
    </r>
    <r>
      <rPr>
        <b/>
        <sz val="14"/>
        <color rgb="FF000000"/>
        <rFont val="Helvetica Neue"/>
        <family val="2"/>
      </rPr>
      <t>Turnover Percentage</t>
    </r>
  </si>
  <si>
    <t>An estimate of turnovers committed per 100 plays.</t>
  </si>
  <si>
    <r>
      <t>USG%</t>
    </r>
    <r>
      <rPr>
        <sz val="14"/>
        <color rgb="FF000000"/>
        <rFont val="Helvetica Neue"/>
        <family val="2"/>
      </rPr>
      <t> -- </t>
    </r>
    <r>
      <rPr>
        <b/>
        <sz val="14"/>
        <color rgb="FF000000"/>
        <rFont val="Helvetica Neue"/>
        <family val="2"/>
      </rPr>
      <t>Usage Percentage</t>
    </r>
  </si>
  <si>
    <t>An estimate of the percentage of team plays used by a player while they were on the floor.</t>
  </si>
  <si>
    <r>
      <t>ORtg</t>
    </r>
    <r>
      <rPr>
        <sz val="14"/>
        <color rgb="FF000000"/>
        <rFont val="Helvetica Neue"/>
        <family val="2"/>
      </rPr>
      <t> -- </t>
    </r>
    <r>
      <rPr>
        <b/>
        <sz val="14"/>
        <color rgb="FF000000"/>
        <rFont val="Helvetica Neue"/>
        <family val="2"/>
      </rPr>
      <t>Offensive Rating</t>
    </r>
  </si>
  <si>
    <t>An estimate of points produced (players) or scored (teams) per 100 possessions</t>
  </si>
  <si>
    <r>
      <t>DRtg</t>
    </r>
    <r>
      <rPr>
        <sz val="14"/>
        <color rgb="FF000000"/>
        <rFont val="Helvetica Neue"/>
        <family val="2"/>
      </rPr>
      <t> -- </t>
    </r>
    <r>
      <rPr>
        <b/>
        <sz val="14"/>
        <color rgb="FF000000"/>
        <rFont val="Helvetica Neue"/>
        <family val="2"/>
      </rPr>
      <t>Defensive Rating</t>
    </r>
  </si>
  <si>
    <t>An estimate of points allowed per 100 possessions</t>
  </si>
  <si>
    <r>
      <t>GmSc</t>
    </r>
    <r>
      <rPr>
        <sz val="14"/>
        <color rgb="FF000000"/>
        <rFont val="Helvetica Neue"/>
        <family val="2"/>
      </rPr>
      <t> -- Game Score</t>
    </r>
  </si>
  <si>
    <r>
      <t>BPM</t>
    </r>
    <r>
      <rPr>
        <sz val="14"/>
        <color rgb="FF000000"/>
        <rFont val="Helvetica Neue"/>
        <family val="2"/>
      </rPr>
      <t> -- </t>
    </r>
    <r>
      <rPr>
        <b/>
        <sz val="14"/>
        <color rgb="FF000000"/>
        <rFont val="Helvetica Neue"/>
        <family val="2"/>
      </rPr>
      <t>Box Plus/Minus</t>
    </r>
  </si>
  <si>
    <t>A box score estimate of the points per 100 possessions a player contributed above a league-average player, translated to an average team.</t>
  </si>
  <si>
    <t>Totals</t>
  </si>
  <si>
    <t>Differential (W-L)</t>
  </si>
  <si>
    <t>Row Labels</t>
  </si>
  <si>
    <t>L</t>
  </si>
  <si>
    <t>W</t>
  </si>
  <si>
    <t>Grand Total</t>
  </si>
  <si>
    <t>Column Labels</t>
  </si>
  <si>
    <t>Total</t>
  </si>
  <si>
    <t>Sum of PTS</t>
  </si>
  <si>
    <t>-</t>
  </si>
  <si>
    <t>DENPts</t>
  </si>
  <si>
    <t>OppPts</t>
  </si>
  <si>
    <t>In All Games</t>
  </si>
  <si>
    <t>Average of DRB%</t>
  </si>
  <si>
    <t>Values</t>
  </si>
  <si>
    <t>Average of PF</t>
  </si>
  <si>
    <t>Average of BLK</t>
  </si>
  <si>
    <t>Average of BLK%</t>
  </si>
  <si>
    <t>Average of STL%</t>
  </si>
  <si>
    <t>Average of DRB</t>
  </si>
  <si>
    <t>Average of STL</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</si>
  <si>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</si>
  <si>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</si>
  <si>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</si>
  <si>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</si>
  <si>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</si>
  <si>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</si>
  <si>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</si>
  <si>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</si>
  <si>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</si>
  <si>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</si>
  <si>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</si>
  <si>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</si>
  <si>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</si>
  <si>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</si>
  <si>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</si>
  <si>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</si>
  <si>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</si>
  <si>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</si>
  <si>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</si>
  <si>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</si>
  <si>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</si>
  <si>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</si>
  <si>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</si>
  <si>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 xml:space="preserve">All data sourced from https://www.basketball-reference.com/players/j/jokicni01/gamelog/2025/ </t>
  </si>
  <si>
    <t>Analysis by Adrien Barnes</t>
  </si>
  <si>
    <t>Differential (W - L)</t>
  </si>
  <si>
    <t>Here is an abbreviated version of how I approached this project</t>
  </si>
  <si>
    <t>Nikola Jokic: Does Playing Defense Matter?</t>
  </si>
  <si>
    <t>A breakdown of how the 3x MVP performed in a team win in the 2024-25 Regular Season</t>
  </si>
  <si>
    <t>1. Decided on baskteball topic to make it fun</t>
  </si>
  <si>
    <t>2. Pulled 2 data sets from website provided and imported to Excel</t>
  </si>
  <si>
    <t>3. Consolidated and cleaned the data for analysis</t>
  </si>
  <si>
    <t>Matching stats of the 2 tables to the correct games</t>
  </si>
  <si>
    <t>Used TEXTBEFORE and TEXTAFTER functions to breakdown game scores</t>
  </si>
  <si>
    <t xml:space="preserve">4. Started initial calcualtions of category totals and basic statistical measures </t>
  </si>
  <si>
    <t>6. Identified DRtg as an area to explore and analyzed with visualizations and further analysis</t>
  </si>
  <si>
    <t xml:space="preserve">7. Brought the analysis together and added commentary on respective worksheets </t>
  </si>
  <si>
    <t>Formated minutes to be pulled if needed</t>
  </si>
  <si>
    <t>Made percentage entires uniform (XX.xx vs 0.xx)</t>
  </si>
  <si>
    <t>Inserted dashes for my blanks for easier navigation</t>
  </si>
  <si>
    <t>5. Calculated the difference in performance in a win - loss to identify any large swings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</si>
</sst>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7" formatCode="[h]&quot;m&quot;mm&quot;s&quot;"/>
    <numFmt numFmtId="168" formatCode="_(* #,##0.0_);_(* \(#,##0.0\);_(* &quot;-&quot;??_);_(@_)"/>
    <numFmt numFmtId="169" formatCode="_(* #,##0_);_(* \(#,##0\);_(* &quot;-&quot;??_);_(@_)"/>
    <numFmt numFmtId="174" formatCode="0.0%"/>
    <numFmt numFmtId="183" formatCode="0.0"/>
    <numFmt numFmtId="185" formatCode="mmmm\ dd\,\ yyyy"/>
  </numFmts>
  <fonts count="16" x14ac:knownFonts="1">
    <font>
      <sz val="12"/>
      <color theme="1"/>
      <name val="Cambria"/>
      <family val="2"/>
    </font>
    <font>
      <sz val="12"/>
      <color theme="1"/>
      <name val="Cambria"/>
      <family val="2"/>
    </font>
    <font>
      <b/>
      <sz val="12"/>
      <color theme="1"/>
      <name val="Cambria"/>
      <family val="2"/>
    </font>
    <font>
      <sz val="11"/>
      <color theme="1"/>
      <name val="Cambria"/>
      <family val="2"/>
    </font>
    <font>
      <b/>
      <sz val="11"/>
      <color theme="0"/>
      <name val="Calibri"/>
      <family val="2"/>
    </font>
    <font>
      <b/>
      <sz val="11"/>
      <color rgb="FF000000"/>
      <name val="Calibri"/>
      <family val="2"/>
    </font>
    <font>
      <sz val="11"/>
      <color theme="1"/>
      <name val="Calibri"/>
      <family val="2"/>
    </font>
    <font>
      <b/>
      <sz val="11"/>
      <color theme="1"/>
      <name val="Calibri"/>
      <family val="2"/>
    </font>
    <font>
      <sz val="11"/>
      <color rgb="FF000000"/>
      <name val="Calibri"/>
      <family val="2"/>
    </font>
    <font>
      <sz val="14"/>
      <color rgb="FF000000"/>
      <name val="Helvetica Neue"/>
      <family val="2"/>
    </font>
    <font>
      <b/>
      <sz val="14"/>
      <color rgb="FF000000"/>
      <name val="Helvetica Neue"/>
      <family val="2"/>
    </font>
    <font>
      <i/>
      <sz val="12"/>
      <color theme="1"/>
      <name val="Cambria"/>
      <family val="2"/>
    </font>
    <font>
      <b/>
      <sz val="12"/>
      <color theme="1"/>
      <name val="Cambria"/>
      <family val="1"/>
    </font>
    <font>
      <sz val="16"/>
      <color theme="1"/>
      <name val="Cambria"/>
      <family val="2"/>
    </font>
    <font>
      <sz val="28"/>
      <color theme="1"/>
      <name val="Cambria"/>
      <family val="2"/>
    </font>
    <font>
      <sz val="10"/>
      <color theme="1"/>
      <name val="Cambria"/>
      <family val="2"/>
    </font>
  </fonts>
  <fills count="6">
    <fill>
      <patternFill patternType="none"/>
    </fill>
    <fill>
      <patternFill patternType="gray125"/>
    </fill>
    <fill>
      <patternFill patternType="solid">
        <fgColor theme="4" tint="0.79998168889431442"/>
        <bgColor theme="4" tint="0.79998168889431442"/>
      </patternFill>
    </fill>
    <fill>
      <patternFill patternType="solid">
        <fgColor rgb="FFFFC627"/>
        <bgColor indexed="64"/>
      </patternFill>
    </fill>
    <fill>
      <patternFill patternType="solid">
        <fgColor rgb="FF0C2140"/>
        <bgColor theme="1"/>
      </patternFill>
    </fill>
    <fill>
      <patternFill patternType="solid">
        <fgColor rgb="FF0C2140"/>
        <bgColor indexed="64"/>
      </patternFill>
    </fill>
  </fills>
  <borders count="12">
    <border>
      <left/>
      <right/>
      <top/>
      <bottom/>
      <diagonal/>
    </border>
    <border>
      <left/>
      <right/>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02">
    <xf numFmtId="0" fontId="0" fillId="0" borderId="0" xfId="0"/>
    <xf numFmtId="0" fontId="7" fillId="0" borderId="0" xfId="0" applyFont="1" applyBorder="1" applyAlignment="1">
      <alignment horizontal="center" vertical="center" wrapText="1"/>
    </xf>
    <xf numFmtId="0" fontId="6" fillId="0" borderId="0" xfId="0" applyFont="1" applyBorder="1" applyAlignment="1">
      <alignment wrapText="1"/>
    </xf>
    <xf numFmtId="14" fontId="6" fillId="0" borderId="0" xfId="0" applyNumberFormat="1" applyFont="1" applyBorder="1" applyAlignment="1">
      <alignment wrapText="1"/>
    </xf>
    <xf numFmtId="167" fontId="6" fillId="0" borderId="0" xfId="0" applyNumberFormat="1" applyFont="1" applyBorder="1" applyAlignment="1">
      <alignment wrapText="1"/>
    </xf>
    <xf numFmtId="0" fontId="10" fillId="0" borderId="0" xfId="0" applyFont="1"/>
    <xf numFmtId="0" fontId="9" fillId="0" borderId="0" xfId="0" applyFont="1"/>
    <xf numFmtId="0" fontId="0" fillId="0" borderId="0" xfId="0" pivotButton="1"/>
    <xf numFmtId="0" fontId="0" fillId="0" borderId="0" xfId="0" applyAlignment="1">
      <alignment horizontal="left"/>
    </xf>
    <xf numFmtId="0" fontId="2" fillId="2" borderId="1" xfId="0" applyFont="1" applyFill="1" applyBorder="1"/>
    <xf numFmtId="0" fontId="0" fillId="0" borderId="0" xfId="0" applyNumberFormat="1"/>
    <xf numFmtId="0" fontId="6" fillId="0" borderId="0" xfId="0" applyFont="1" applyBorder="1"/>
    <xf numFmtId="0" fontId="7" fillId="0" borderId="0" xfId="0" applyFont="1" applyBorder="1"/>
    <xf numFmtId="169" fontId="6" fillId="0" borderId="0" xfId="1" applyNumberFormat="1" applyFont="1" applyBorder="1"/>
    <xf numFmtId="174" fontId="6" fillId="0" borderId="0" xfId="2" applyNumberFormat="1" applyFont="1" applyBorder="1"/>
    <xf numFmtId="174" fontId="6" fillId="0" borderId="0" xfId="2" applyNumberFormat="1" applyFont="1" applyBorder="1" applyAlignment="1">
      <alignment wrapText="1"/>
    </xf>
    <xf numFmtId="174" fontId="8" fillId="0" borderId="0" xfId="2" applyNumberFormat="1" applyFont="1" applyBorder="1" applyAlignment="1">
      <alignment wrapText="1"/>
    </xf>
    <xf numFmtId="168" fontId="8" fillId="0" borderId="0" xfId="1" applyNumberFormat="1" applyFont="1" applyBorder="1" applyAlignment="1">
      <alignment wrapText="1"/>
    </xf>
    <xf numFmtId="168" fontId="6" fillId="0" borderId="0" xfId="1" applyNumberFormat="1" applyFont="1" applyBorder="1"/>
    <xf numFmtId="169" fontId="8" fillId="0" borderId="0" xfId="1" applyNumberFormat="1" applyFont="1" applyBorder="1" applyAlignment="1">
      <alignment wrapText="1"/>
    </xf>
    <xf numFmtId="0" fontId="6" fillId="0" borderId="5" xfId="0" applyFont="1" applyBorder="1"/>
    <xf numFmtId="0" fontId="6" fillId="0" borderId="7" xfId="0" applyFont="1" applyBorder="1"/>
    <xf numFmtId="0" fontId="6" fillId="0" borderId="8" xfId="0" applyFont="1" applyBorder="1"/>
    <xf numFmtId="167" fontId="6" fillId="0" borderId="8" xfId="0" applyNumberFormat="1" applyFont="1" applyBorder="1" applyAlignment="1">
      <alignment wrapText="1"/>
    </xf>
    <xf numFmtId="169" fontId="6" fillId="0" borderId="8" xfId="1" applyNumberFormat="1" applyFont="1" applyBorder="1"/>
    <xf numFmtId="174" fontId="6" fillId="0" borderId="8" xfId="2" applyNumberFormat="1" applyFont="1" applyBorder="1"/>
    <xf numFmtId="168" fontId="6" fillId="0" borderId="0" xfId="1" applyNumberFormat="1" applyFont="1" applyBorder="1" applyAlignment="1">
      <alignment wrapText="1"/>
    </xf>
    <xf numFmtId="168" fontId="6" fillId="0" borderId="8" xfId="1" applyNumberFormat="1" applyFont="1" applyBorder="1"/>
    <xf numFmtId="169" fontId="6" fillId="0" borderId="0" xfId="1" applyNumberFormat="1" applyFont="1" applyBorder="1" applyAlignment="1">
      <alignment wrapText="1"/>
    </xf>
    <xf numFmtId="168" fontId="6" fillId="0" borderId="6" xfId="1" applyNumberFormat="1" applyFont="1" applyBorder="1"/>
    <xf numFmtId="168" fontId="6" fillId="0" borderId="9" xfId="1" applyNumberFormat="1" applyFont="1" applyBorder="1"/>
    <xf numFmtId="0" fontId="7" fillId="0" borderId="0" xfId="0" applyFont="1" applyBorder="1" applyAlignment="1">
      <alignment wrapText="1"/>
    </xf>
    <xf numFmtId="14" fontId="7" fillId="0" borderId="0" xfId="0" applyNumberFormat="1" applyFont="1" applyBorder="1" applyAlignment="1">
      <alignment wrapText="1"/>
    </xf>
    <xf numFmtId="167" fontId="7" fillId="0" borderId="0" xfId="0" applyNumberFormat="1" applyFont="1" applyBorder="1" applyAlignment="1">
      <alignment wrapText="1"/>
    </xf>
    <xf numFmtId="169" fontId="7" fillId="0" borderId="0" xfId="1" applyNumberFormat="1" applyFont="1" applyBorder="1" applyAlignment="1">
      <alignment wrapText="1"/>
    </xf>
    <xf numFmtId="174" fontId="5" fillId="0" borderId="0" xfId="2" applyNumberFormat="1" applyFont="1" applyBorder="1" applyAlignment="1">
      <alignment wrapText="1"/>
    </xf>
    <xf numFmtId="169" fontId="5" fillId="0" borderId="0" xfId="1" applyNumberFormat="1" applyFont="1" applyBorder="1" applyAlignment="1">
      <alignment wrapText="1"/>
    </xf>
    <xf numFmtId="168" fontId="5" fillId="0" borderId="0" xfId="1" applyNumberFormat="1" applyFont="1" applyBorder="1" applyAlignment="1">
      <alignment wrapText="1"/>
    </xf>
    <xf numFmtId="174" fontId="7" fillId="0" borderId="7" xfId="2" applyNumberFormat="1" applyFont="1" applyBorder="1"/>
    <xf numFmtId="174" fontId="7" fillId="0" borderId="8" xfId="2" applyNumberFormat="1" applyFont="1" applyBorder="1"/>
    <xf numFmtId="167" fontId="7" fillId="0" borderId="8" xfId="0" applyNumberFormat="1" applyFont="1" applyBorder="1" applyAlignment="1">
      <alignment wrapText="1"/>
    </xf>
    <xf numFmtId="169" fontId="7" fillId="0" borderId="8" xfId="1" applyNumberFormat="1" applyFont="1" applyBorder="1"/>
    <xf numFmtId="168" fontId="7" fillId="0" borderId="8" xfId="1" applyNumberFormat="1" applyFont="1" applyBorder="1"/>
    <xf numFmtId="168" fontId="7" fillId="0" borderId="9" xfId="1" applyNumberFormat="1" applyFont="1" applyBorder="1"/>
    <xf numFmtId="174" fontId="7" fillId="0" borderId="0" xfId="2" applyNumberFormat="1" applyFont="1" applyBorder="1"/>
    <xf numFmtId="0" fontId="7" fillId="0" borderId="7" xfId="0" applyFont="1" applyBorder="1"/>
    <xf numFmtId="0" fontId="7" fillId="0" borderId="8" xfId="0" applyFont="1" applyBorder="1"/>
    <xf numFmtId="0" fontId="7" fillId="3" borderId="2" xfId="0" applyFont="1" applyFill="1" applyBorder="1"/>
    <xf numFmtId="0" fontId="6" fillId="3" borderId="3" xfId="0" applyFont="1" applyFill="1" applyBorder="1" applyAlignment="1">
      <alignment wrapText="1"/>
    </xf>
    <xf numFmtId="169" fontId="6" fillId="3" borderId="3" xfId="1" applyNumberFormat="1" applyFont="1" applyFill="1" applyBorder="1" applyAlignment="1">
      <alignment wrapText="1"/>
    </xf>
    <xf numFmtId="174" fontId="6" fillId="3" borderId="3" xfId="2" applyNumberFormat="1" applyFont="1" applyFill="1" applyBorder="1" applyAlignment="1">
      <alignment wrapText="1"/>
    </xf>
    <xf numFmtId="174" fontId="6" fillId="3" borderId="3" xfId="2" applyNumberFormat="1" applyFont="1" applyFill="1" applyBorder="1"/>
    <xf numFmtId="169" fontId="6" fillId="3" borderId="3" xfId="1" applyNumberFormat="1" applyFont="1" applyFill="1" applyBorder="1"/>
    <xf numFmtId="168" fontId="6" fillId="3" borderId="3" xfId="1" applyNumberFormat="1" applyFont="1" applyFill="1" applyBorder="1"/>
    <xf numFmtId="168" fontId="6" fillId="3" borderId="4" xfId="1" applyNumberFormat="1" applyFont="1" applyFill="1" applyBorder="1"/>
    <xf numFmtId="183" fontId="6" fillId="0" borderId="0" xfId="0" applyNumberFormat="1" applyFont="1" applyBorder="1"/>
    <xf numFmtId="183" fontId="6" fillId="0" borderId="0" xfId="1" applyNumberFormat="1" applyFont="1" applyBorder="1"/>
    <xf numFmtId="43" fontId="0" fillId="0" borderId="0" xfId="1" applyFont="1"/>
    <xf numFmtId="43" fontId="2" fillId="2" borderId="1" xfId="1" applyNumberFormat="1" applyFont="1" applyFill="1" applyBorder="1"/>
    <xf numFmtId="169" fontId="0" fillId="0" borderId="0" xfId="0" applyNumberFormat="1"/>
    <xf numFmtId="10" fontId="0" fillId="0" borderId="0" xfId="2" applyNumberFormat="1" applyFont="1"/>
    <xf numFmtId="0" fontId="4" fillId="4" borderId="0" xfId="0" applyFont="1" applyFill="1" applyBorder="1" applyAlignment="1">
      <alignment horizontal="center" vertical="center" wrapText="1"/>
    </xf>
    <xf numFmtId="169" fontId="4" fillId="4" borderId="0" xfId="1" applyNumberFormat="1" applyFont="1" applyFill="1" applyBorder="1" applyAlignment="1">
      <alignment horizontal="center" vertical="center" wrapText="1"/>
    </xf>
    <xf numFmtId="174" fontId="4" fillId="4" borderId="0" xfId="2" applyNumberFormat="1" applyFont="1" applyFill="1" applyBorder="1" applyAlignment="1">
      <alignment horizontal="center" vertical="center" wrapText="1"/>
    </xf>
    <xf numFmtId="168" fontId="4" fillId="4" borderId="0" xfId="1" applyNumberFormat="1" applyFont="1" applyFill="1" applyBorder="1" applyAlignment="1">
      <alignment horizontal="center" vertical="center" wrapText="1"/>
    </xf>
    <xf numFmtId="0" fontId="6" fillId="5" borderId="0" xfId="0" applyFont="1" applyFill="1" applyBorder="1"/>
    <xf numFmtId="0" fontId="0" fillId="0" borderId="0" xfId="0" applyFill="1" applyBorder="1" applyAlignment="1"/>
    <xf numFmtId="0" fontId="0" fillId="0" borderId="10" xfId="0" applyFill="1" applyBorder="1" applyAlignment="1"/>
    <xf numFmtId="0" fontId="11" fillId="0" borderId="11" xfId="0" applyFont="1" applyFill="1" applyBorder="1" applyAlignment="1">
      <alignment horizontal="center"/>
    </xf>
    <xf numFmtId="0" fontId="11" fillId="0" borderId="11" xfId="0" applyFont="1" applyFill="1" applyBorder="1" applyAlignment="1">
      <alignment horizontal="centerContinuous"/>
    </xf>
    <xf numFmtId="0" fontId="12" fillId="3" borderId="0" xfId="0" applyFont="1" applyFill="1" applyBorder="1" applyAlignment="1"/>
    <xf numFmtId="0" fontId="12" fillId="0" borderId="0" xfId="0" applyFont="1"/>
    <xf numFmtId="0" fontId="0" fillId="0" borderId="10" xfId="0" applyBorder="1"/>
    <xf numFmtId="0" fontId="14" fillId="0" borderId="0" xfId="0" applyFont="1" applyAlignment="1">
      <alignment horizontal="centerContinuous"/>
    </xf>
    <xf numFmtId="0" fontId="0" fillId="0" borderId="0" xfId="0" applyAlignment="1">
      <alignment horizontal="centerContinuous"/>
    </xf>
    <xf numFmtId="0" fontId="13" fillId="0" borderId="0" xfId="0" applyFont="1" applyAlignment="1">
      <alignment horizontal="centerContinuous"/>
    </xf>
    <xf numFmtId="0" fontId="3" fillId="0" borderId="0" xfId="0" applyFont="1" applyAlignment="1">
      <alignment horizontal="centerContinuous"/>
    </xf>
    <xf numFmtId="185" fontId="15" fillId="0" borderId="0" xfId="0" applyNumberFormat="1" applyFont="1" applyAlignment="1">
      <alignment horizontal="centerContinuous"/>
    </xf>
    <xf numFmtId="0" fontId="15" fillId="0" borderId="10" xfId="0" applyFont="1" applyBorder="1" applyAlignment="1">
      <alignment horizontal="centerContinuous"/>
    </xf>
    <xf numFmtId="0" fontId="0" fillId="0" borderId="10" xfId="0" applyBorder="1" applyAlignment="1">
      <alignment horizontal="centerContinuous"/>
    </xf>
    <xf numFmtId="174" fontId="0" fillId="0" borderId="0" xfId="0" applyNumberFormat="1"/>
    <xf numFmtId="168" fontId="0" fillId="0" borderId="0" xfId="0" applyNumberFormat="1"/>
    <xf numFmtId="167" fontId="0" fillId="0" borderId="0" xfId="0" applyNumberFormat="1"/>
    <xf numFmtId="169" fontId="4" fillId="4" borderId="2" xfId="1" applyNumberFormat="1" applyFont="1" applyFill="1" applyBorder="1" applyAlignment="1">
      <alignment horizontal="center" vertical="center" wrapText="1"/>
    </xf>
    <xf numFmtId="0" fontId="4" fillId="4" borderId="3" xfId="0" applyFont="1" applyFill="1" applyBorder="1" applyAlignment="1">
      <alignment horizontal="center" vertical="center" wrapText="1"/>
    </xf>
    <xf numFmtId="169" fontId="4" fillId="4" borderId="3" xfId="1" applyNumberFormat="1" applyFont="1" applyFill="1" applyBorder="1" applyAlignment="1">
      <alignment horizontal="center" vertical="center" wrapText="1"/>
    </xf>
    <xf numFmtId="169" fontId="4" fillId="4" borderId="4" xfId="1" applyNumberFormat="1" applyFont="1" applyFill="1" applyBorder="1" applyAlignment="1">
      <alignment horizontal="center" vertical="center" wrapText="1"/>
    </xf>
    <xf numFmtId="0" fontId="2" fillId="0" borderId="5" xfId="0" applyFont="1" applyBorder="1"/>
    <xf numFmtId="169" fontId="0" fillId="0" borderId="0" xfId="0" applyNumberFormat="1" applyBorder="1"/>
    <xf numFmtId="169" fontId="0" fillId="0" borderId="6" xfId="0" applyNumberFormat="1" applyBorder="1"/>
    <xf numFmtId="0" fontId="2" fillId="0" borderId="7" xfId="0" applyFont="1" applyBorder="1"/>
    <xf numFmtId="168" fontId="0" fillId="0" borderId="8" xfId="0" applyNumberFormat="1" applyBorder="1"/>
    <xf numFmtId="169" fontId="0" fillId="0" borderId="8" xfId="0" applyNumberFormat="1" applyBorder="1"/>
    <xf numFmtId="169" fontId="0" fillId="0" borderId="9" xfId="0" applyNumberFormat="1" applyBorder="1"/>
    <xf numFmtId="0" fontId="0" fillId="0" borderId="0" xfId="0" applyBorder="1"/>
    <xf numFmtId="0" fontId="0" fillId="0" borderId="8" xfId="0" applyBorder="1"/>
    <xf numFmtId="174" fontId="4" fillId="4" borderId="3" xfId="2" applyNumberFormat="1" applyFont="1" applyFill="1" applyBorder="1" applyAlignment="1">
      <alignment horizontal="center" vertical="center" wrapText="1"/>
    </xf>
    <xf numFmtId="174" fontId="4" fillId="4" borderId="4" xfId="2" applyNumberFormat="1" applyFont="1" applyFill="1" applyBorder="1" applyAlignment="1">
      <alignment horizontal="center" vertical="center" wrapText="1"/>
    </xf>
    <xf numFmtId="174" fontId="0" fillId="0" borderId="0" xfId="0" applyNumberFormat="1" applyBorder="1"/>
    <xf numFmtId="174" fontId="0" fillId="0" borderId="6" xfId="0" applyNumberFormat="1" applyBorder="1"/>
    <xf numFmtId="174" fontId="0" fillId="0" borderId="8" xfId="0" applyNumberFormat="1" applyBorder="1"/>
    <xf numFmtId="174" fontId="0" fillId="0" borderId="9" xfId="0" applyNumberFormat="1" applyBorder="1"/>
  </cellXfs>
  <cellStyles count="3">
    <cellStyle name="Comma" xfId="1" builtinId="3"/>
    <cellStyle name="Normal" xfId="0" builtinId="0"/>
    <cellStyle name="Percent" xfId="2" builtinId="5"/>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627"/>
      <color rgb="FF0C2140"/>
      <color rgb="FF8B23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Nikola Jokic Defensive Rating</a:t>
            </a:r>
            <a:r>
              <a:rPr lang="en-US" sz="2000" b="1" baseline="0"/>
              <a:t> v. Plus/Minus</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'#PlusMinus v. DRtg'!$E$1</c:f>
              <c:strCache>
                <c:ptCount val="1"/>
                <c:pt idx="0">
                  <c:v>+/-</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'#PlusMinus v. DRtg'!$D$2:$D$71</c:f>
              <c:numCache>
                <c:formatCode>_(* #,##0_);_(* \(#,##0\);_(* "-"??_);_(@_)</c:formatCode>
                <c:ptCount val="70"/>
                <c:pt idx="0">
                  <c:v>99</c:v>
                </c:pt>
                <c:pt idx="1">
                  <c:v>114</c:v>
                </c:pt>
                <c:pt idx="2">
                  <c:v>112</c:v>
                </c:pt>
                <c:pt idx="3">
                  <c:v>129</c:v>
                </c:pt>
                <c:pt idx="4">
                  <c:v>115</c:v>
                </c:pt>
                <c:pt idx="5">
                  <c:v>95</c:v>
                </c:pt>
                <c:pt idx="6">
                  <c:v>113</c:v>
                </c:pt>
                <c:pt idx="7">
                  <c:v>105</c:v>
                </c:pt>
                <c:pt idx="8">
                  <c:v>117</c:v>
                </c:pt>
                <c:pt idx="9">
                  <c:v>117</c:v>
                </c:pt>
                <c:pt idx="10">
                  <c:v>121</c:v>
                </c:pt>
                <c:pt idx="11">
                  <c:v>95</c:v>
                </c:pt>
                <c:pt idx="12">
                  <c:v>144</c:v>
                </c:pt>
                <c:pt idx="13">
                  <c:v>107</c:v>
                </c:pt>
                <c:pt idx="14">
                  <c:v>120</c:v>
                </c:pt>
                <c:pt idx="15">
                  <c:v>100</c:v>
                </c:pt>
                <c:pt idx="16">
                  <c:v>108</c:v>
                </c:pt>
                <c:pt idx="17">
                  <c:v>118</c:v>
                </c:pt>
                <c:pt idx="18">
                  <c:v>94</c:v>
                </c:pt>
                <c:pt idx="19">
                  <c:v>93</c:v>
                </c:pt>
                <c:pt idx="20">
                  <c:v>113</c:v>
                </c:pt>
                <c:pt idx="21">
                  <c:v>128</c:v>
                </c:pt>
                <c:pt idx="22">
                  <c:v>108</c:v>
                </c:pt>
                <c:pt idx="23">
                  <c:v>104</c:v>
                </c:pt>
                <c:pt idx="24">
                  <c:v>112</c:v>
                </c:pt>
                <c:pt idx="25">
                  <c:v>134</c:v>
                </c:pt>
                <c:pt idx="26">
                  <c:v>123</c:v>
                </c:pt>
                <c:pt idx="27">
                  <c:v>110</c:v>
                </c:pt>
                <c:pt idx="28">
                  <c:v>104</c:v>
                </c:pt>
                <c:pt idx="29">
                  <c:v>103</c:v>
                </c:pt>
                <c:pt idx="30">
                  <c:v>102</c:v>
                </c:pt>
                <c:pt idx="31">
                  <c:v>97</c:v>
                </c:pt>
                <c:pt idx="32">
                  <c:v>94</c:v>
                </c:pt>
                <c:pt idx="33">
                  <c:v>92</c:v>
                </c:pt>
                <c:pt idx="34">
                  <c:v>112</c:v>
                </c:pt>
                <c:pt idx="35">
                  <c:v>82</c:v>
                </c:pt>
                <c:pt idx="36">
                  <c:v>98</c:v>
                </c:pt>
                <c:pt idx="37">
                  <c:v>102</c:v>
                </c:pt>
                <c:pt idx="38">
                  <c:v>142</c:v>
                </c:pt>
                <c:pt idx="39">
                  <c:v>123</c:v>
                </c:pt>
                <c:pt idx="40">
                  <c:v>119</c:v>
                </c:pt>
                <c:pt idx="41">
                  <c:v>133</c:v>
                </c:pt>
                <c:pt idx="42">
                  <c:v>93</c:v>
                </c:pt>
                <c:pt idx="43">
                  <c:v>112</c:v>
                </c:pt>
                <c:pt idx="44">
                  <c:v>117</c:v>
                </c:pt>
                <c:pt idx="45">
                  <c:v>84</c:v>
                </c:pt>
                <c:pt idx="46">
                  <c:v>115</c:v>
                </c:pt>
                <c:pt idx="47">
                  <c:v>107</c:v>
                </c:pt>
                <c:pt idx="48">
                  <c:v>110</c:v>
                </c:pt>
                <c:pt idx="49">
                  <c:v>106</c:v>
                </c:pt>
                <c:pt idx="50">
                  <c:v>124</c:v>
                </c:pt>
                <c:pt idx="51">
                  <c:v>104</c:v>
                </c:pt>
                <c:pt idx="52">
                  <c:v>113</c:v>
                </c:pt>
                <c:pt idx="53">
                  <c:v>101</c:v>
                </c:pt>
                <c:pt idx="54">
                  <c:v>114</c:v>
                </c:pt>
                <c:pt idx="55">
                  <c:v>109</c:v>
                </c:pt>
                <c:pt idx="56">
                  <c:v>125</c:v>
                </c:pt>
                <c:pt idx="57">
                  <c:v>122</c:v>
                </c:pt>
                <c:pt idx="58">
                  <c:v>119</c:v>
                </c:pt>
                <c:pt idx="59">
                  <c:v>123</c:v>
                </c:pt>
                <c:pt idx="60">
                  <c:v>120</c:v>
                </c:pt>
                <c:pt idx="61">
                  <c:v>118</c:v>
                </c:pt>
                <c:pt idx="62">
                  <c:v>122</c:v>
                </c:pt>
                <c:pt idx="63">
                  <c:v>80</c:v>
                </c:pt>
                <c:pt idx="64">
                  <c:v>122</c:v>
                </c:pt>
                <c:pt idx="65">
                  <c:v>116</c:v>
                </c:pt>
                <c:pt idx="66">
                  <c:v>115</c:v>
                </c:pt>
                <c:pt idx="67">
                  <c:v>114</c:v>
                </c:pt>
                <c:pt idx="68">
                  <c:v>102</c:v>
                </c:pt>
                <c:pt idx="69">
                  <c:v>108</c:v>
                </c:pt>
              </c:numCache>
            </c:numRef>
          </c:xVal>
          <c:yVal>
            <c:numRef>
              <c:f>'#PlusMinus v. DRtg'!$E$2:$E$71</c:f>
              <c:numCache>
                <c:formatCode>General</c:formatCode>
                <c:ptCount val="70"/>
                <c:pt idx="0">
                  <c:v>-9</c:v>
                </c:pt>
                <c:pt idx="1">
                  <c:v>7</c:v>
                </c:pt>
                <c:pt idx="2">
                  <c:v>9</c:v>
                </c:pt>
                <c:pt idx="3">
                  <c:v>8</c:v>
                </c:pt>
                <c:pt idx="4">
                  <c:v>6</c:v>
                </c:pt>
                <c:pt idx="5">
                  <c:v>31</c:v>
                </c:pt>
                <c:pt idx="6">
                  <c:v>-1</c:v>
                </c:pt>
                <c:pt idx="7">
                  <c:v>8</c:v>
                </c:pt>
                <c:pt idx="8">
                  <c:v>26</c:v>
                </c:pt>
                <c:pt idx="9">
                  <c:v>13</c:v>
                </c:pt>
                <c:pt idx="10">
                  <c:v>4</c:v>
                </c:pt>
                <c:pt idx="11">
                  <c:v>39</c:v>
                </c:pt>
                <c:pt idx="12">
                  <c:v>-20</c:v>
                </c:pt>
                <c:pt idx="13">
                  <c:v>20</c:v>
                </c:pt>
                <c:pt idx="14">
                  <c:v>-7</c:v>
                </c:pt>
                <c:pt idx="15">
                  <c:v>23</c:v>
                </c:pt>
                <c:pt idx="16">
                  <c:v>-8</c:v>
                </c:pt>
                <c:pt idx="17">
                  <c:v>-1</c:v>
                </c:pt>
                <c:pt idx="18">
                  <c:v>25</c:v>
                </c:pt>
                <c:pt idx="19">
                  <c:v>14</c:v>
                </c:pt>
                <c:pt idx="20">
                  <c:v>4</c:v>
                </c:pt>
                <c:pt idx="21">
                  <c:v>-5</c:v>
                </c:pt>
                <c:pt idx="22">
                  <c:v>6</c:v>
                </c:pt>
                <c:pt idx="23">
                  <c:v>19</c:v>
                </c:pt>
                <c:pt idx="24">
                  <c:v>-3</c:v>
                </c:pt>
                <c:pt idx="25">
                  <c:v>-15</c:v>
                </c:pt>
                <c:pt idx="26">
                  <c:v>25</c:v>
                </c:pt>
                <c:pt idx="27">
                  <c:v>20</c:v>
                </c:pt>
                <c:pt idx="28">
                  <c:v>31</c:v>
                </c:pt>
                <c:pt idx="29">
                  <c:v>7</c:v>
                </c:pt>
                <c:pt idx="30">
                  <c:v>7</c:v>
                </c:pt>
                <c:pt idx="31">
                  <c:v>33</c:v>
                </c:pt>
                <c:pt idx="32">
                  <c:v>-2</c:v>
                </c:pt>
                <c:pt idx="33">
                  <c:v>23</c:v>
                </c:pt>
                <c:pt idx="34">
                  <c:v>6</c:v>
                </c:pt>
                <c:pt idx="35">
                  <c:v>20</c:v>
                </c:pt>
                <c:pt idx="36">
                  <c:v>21</c:v>
                </c:pt>
                <c:pt idx="37">
                  <c:v>11</c:v>
                </c:pt>
                <c:pt idx="38">
                  <c:v>-24</c:v>
                </c:pt>
                <c:pt idx="39">
                  <c:v>1</c:v>
                </c:pt>
                <c:pt idx="40">
                  <c:v>-3</c:v>
                </c:pt>
                <c:pt idx="41">
                  <c:v>0</c:v>
                </c:pt>
                <c:pt idx="42">
                  <c:v>-2</c:v>
                </c:pt>
                <c:pt idx="43">
                  <c:v>11</c:v>
                </c:pt>
                <c:pt idx="44">
                  <c:v>24</c:v>
                </c:pt>
                <c:pt idx="45">
                  <c:v>22</c:v>
                </c:pt>
                <c:pt idx="46">
                  <c:v>19</c:v>
                </c:pt>
                <c:pt idx="47">
                  <c:v>22</c:v>
                </c:pt>
                <c:pt idx="48">
                  <c:v>6</c:v>
                </c:pt>
                <c:pt idx="49">
                  <c:v>14</c:v>
                </c:pt>
                <c:pt idx="50">
                  <c:v>-11</c:v>
                </c:pt>
                <c:pt idx="51">
                  <c:v>17</c:v>
                </c:pt>
                <c:pt idx="52">
                  <c:v>-5</c:v>
                </c:pt>
                <c:pt idx="53">
                  <c:v>33</c:v>
                </c:pt>
                <c:pt idx="54">
                  <c:v>0</c:v>
                </c:pt>
                <c:pt idx="55">
                  <c:v>-7</c:v>
                </c:pt>
                <c:pt idx="56">
                  <c:v>8</c:v>
                </c:pt>
                <c:pt idx="57">
                  <c:v>-13</c:v>
                </c:pt>
                <c:pt idx="58">
                  <c:v>8</c:v>
                </c:pt>
                <c:pt idx="59">
                  <c:v>-24</c:v>
                </c:pt>
                <c:pt idx="60">
                  <c:v>2</c:v>
                </c:pt>
                <c:pt idx="61">
                  <c:v>6</c:v>
                </c:pt>
                <c:pt idx="62">
                  <c:v>14</c:v>
                </c:pt>
                <c:pt idx="63">
                  <c:v>28</c:v>
                </c:pt>
                <c:pt idx="64">
                  <c:v>2</c:v>
                </c:pt>
                <c:pt idx="65">
                  <c:v>-4</c:v>
                </c:pt>
                <c:pt idx="66">
                  <c:v>1</c:v>
                </c:pt>
                <c:pt idx="67">
                  <c:v>9</c:v>
                </c:pt>
                <c:pt idx="68">
                  <c:v>11</c:v>
                </c:pt>
                <c:pt idx="69">
                  <c:v>34</c:v>
                </c:pt>
              </c:numCache>
            </c:numRef>
          </c:yVal>
          <c:smooth val="0"/>
          <c:extLst>
            <c:ext xmlns:c16="http://schemas.microsoft.com/office/drawing/2014/chart" uri="{C3380CC4-5D6E-409C-BE32-E72D297353CC}">
              <c16:uniqueId val="{00000000-FC6F-2147-AAC0-74FDFC872C91}"/>
            </c:ext>
          </c:extLst>
        </c:ser>
        <c:dLbls>
          <c:showLegendKey val="0"/>
          <c:showVal val="0"/>
          <c:showCatName val="0"/>
          <c:showSerName val="0"/>
          <c:showPercent val="0"/>
          <c:showBubbleSize val="0"/>
        </c:dLbls>
        <c:axId val="273484623"/>
        <c:axId val="273616671"/>
      </c:scatterChart>
      <c:valAx>
        <c:axId val="273484623"/>
        <c:scaling>
          <c:orientation val="minMax"/>
          <c:min val="7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Defensive 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616671"/>
        <c:crosses val="autoZero"/>
        <c:crossBetween val="midCat"/>
      </c:valAx>
      <c:valAx>
        <c:axId val="2736166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Plus/Minus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4846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Nikola</a:t>
            </a:r>
            <a:r>
              <a:rPr lang="en-US" sz="2000" b="1" baseline="0"/>
              <a:t> Jokic Single Game Points in the 2024-25 Season</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Win</c:v>
          </c:tx>
          <c:spPr>
            <a:ln w="38100" cap="rnd">
              <a:noFill/>
              <a:round/>
            </a:ln>
            <a:effectLst/>
          </c:spPr>
          <c:marker>
            <c:symbol val="circle"/>
            <c:size val="5"/>
            <c:spPr>
              <a:solidFill>
                <a:schemeClr val="accent1"/>
              </a:solidFill>
              <a:ln w="9525">
                <a:solidFill>
                  <a:schemeClr val="accent1"/>
                </a:solidFill>
              </a:ln>
              <a:effectLst/>
            </c:spPr>
          </c:marker>
          <c:yVal>
            <c:numRef>
              <c:f>PivotTable!$F$4:$F$73</c:f>
              <c:numCache>
                <c:formatCode>General</c:formatCode>
                <c:ptCount val="70"/>
                <c:pt idx="2">
                  <c:v>40</c:v>
                </c:pt>
                <c:pt idx="3">
                  <c:v>29</c:v>
                </c:pt>
                <c:pt idx="5">
                  <c:v>27</c:v>
                </c:pt>
                <c:pt idx="6">
                  <c:v>28</c:v>
                </c:pt>
                <c:pt idx="7">
                  <c:v>23</c:v>
                </c:pt>
                <c:pt idx="8">
                  <c:v>30</c:v>
                </c:pt>
                <c:pt idx="9">
                  <c:v>37</c:v>
                </c:pt>
                <c:pt idx="11">
                  <c:v>34</c:v>
                </c:pt>
                <c:pt idx="13">
                  <c:v>30</c:v>
                </c:pt>
                <c:pt idx="15">
                  <c:v>38</c:v>
                </c:pt>
                <c:pt idx="18">
                  <c:v>48</c:v>
                </c:pt>
                <c:pt idx="19">
                  <c:v>16</c:v>
                </c:pt>
                <c:pt idx="20">
                  <c:v>20</c:v>
                </c:pt>
                <c:pt idx="22">
                  <c:v>27</c:v>
                </c:pt>
                <c:pt idx="23">
                  <c:v>32</c:v>
                </c:pt>
                <c:pt idx="26">
                  <c:v>37</c:v>
                </c:pt>
                <c:pt idx="27">
                  <c:v>36</c:v>
                </c:pt>
                <c:pt idx="28">
                  <c:v>23</c:v>
                </c:pt>
                <c:pt idx="30">
                  <c:v>46</c:v>
                </c:pt>
                <c:pt idx="31">
                  <c:v>35</c:v>
                </c:pt>
                <c:pt idx="32">
                  <c:v>19</c:v>
                </c:pt>
                <c:pt idx="33">
                  <c:v>10</c:v>
                </c:pt>
                <c:pt idx="34">
                  <c:v>24</c:v>
                </c:pt>
                <c:pt idx="35">
                  <c:v>20</c:v>
                </c:pt>
                <c:pt idx="36">
                  <c:v>27</c:v>
                </c:pt>
                <c:pt idx="37">
                  <c:v>35</c:v>
                </c:pt>
                <c:pt idx="41">
                  <c:v>28</c:v>
                </c:pt>
                <c:pt idx="42">
                  <c:v>28</c:v>
                </c:pt>
                <c:pt idx="43">
                  <c:v>27</c:v>
                </c:pt>
                <c:pt idx="44">
                  <c:v>38</c:v>
                </c:pt>
                <c:pt idx="45">
                  <c:v>28</c:v>
                </c:pt>
                <c:pt idx="46">
                  <c:v>26</c:v>
                </c:pt>
                <c:pt idx="47">
                  <c:v>40</c:v>
                </c:pt>
                <c:pt idx="48">
                  <c:v>26</c:v>
                </c:pt>
                <c:pt idx="49">
                  <c:v>29</c:v>
                </c:pt>
                <c:pt idx="51">
                  <c:v>18</c:v>
                </c:pt>
                <c:pt idx="53">
                  <c:v>23</c:v>
                </c:pt>
                <c:pt idx="55">
                  <c:v>22</c:v>
                </c:pt>
                <c:pt idx="56">
                  <c:v>31</c:v>
                </c:pt>
                <c:pt idx="58">
                  <c:v>35</c:v>
                </c:pt>
                <c:pt idx="60">
                  <c:v>28</c:v>
                </c:pt>
                <c:pt idx="62">
                  <c:v>39</c:v>
                </c:pt>
                <c:pt idx="63">
                  <c:v>27</c:v>
                </c:pt>
                <c:pt idx="67">
                  <c:v>20</c:v>
                </c:pt>
                <c:pt idx="68">
                  <c:v>26</c:v>
                </c:pt>
                <c:pt idx="69">
                  <c:v>18</c:v>
                </c:pt>
              </c:numCache>
            </c:numRef>
          </c:yVal>
          <c:smooth val="0"/>
          <c:extLst>
            <c:ext xmlns:c16="http://schemas.microsoft.com/office/drawing/2014/chart" uri="{C3380CC4-5D6E-409C-BE32-E72D297353CC}">
              <c16:uniqueId val="{00000000-3B58-A945-8A3B-A5D1F7901DA9}"/>
            </c:ext>
          </c:extLst>
        </c:ser>
        <c:ser>
          <c:idx val="1"/>
          <c:order val="1"/>
          <c:tx>
            <c:v>Loss</c:v>
          </c:tx>
          <c:spPr>
            <a:ln w="25400" cap="rnd">
              <a:noFill/>
              <a:round/>
            </a:ln>
            <a:effectLst/>
          </c:spPr>
          <c:marker>
            <c:symbol val="circle"/>
            <c:size val="5"/>
            <c:spPr>
              <a:solidFill>
                <a:schemeClr val="accent2"/>
              </a:solidFill>
              <a:ln w="9525">
                <a:solidFill>
                  <a:schemeClr val="accent2"/>
                </a:solidFill>
              </a:ln>
              <a:effectLst/>
            </c:spPr>
          </c:marker>
          <c:yVal>
            <c:numRef>
              <c:f>PivotTable!$E$4:$E$73</c:f>
              <c:numCache>
                <c:formatCode>General</c:formatCode>
                <c:ptCount val="70"/>
                <c:pt idx="0">
                  <c:v>16</c:v>
                </c:pt>
                <c:pt idx="1">
                  <c:v>41</c:v>
                </c:pt>
                <c:pt idx="4">
                  <c:v>26</c:v>
                </c:pt>
                <c:pt idx="10">
                  <c:v>33</c:v>
                </c:pt>
                <c:pt idx="12">
                  <c:v>22</c:v>
                </c:pt>
                <c:pt idx="14">
                  <c:v>28</c:v>
                </c:pt>
                <c:pt idx="16">
                  <c:v>27</c:v>
                </c:pt>
                <c:pt idx="17">
                  <c:v>56</c:v>
                </c:pt>
                <c:pt idx="21">
                  <c:v>34</c:v>
                </c:pt>
                <c:pt idx="24">
                  <c:v>25</c:v>
                </c:pt>
                <c:pt idx="25">
                  <c:v>27</c:v>
                </c:pt>
                <c:pt idx="29">
                  <c:v>41</c:v>
                </c:pt>
                <c:pt idx="38">
                  <c:v>20</c:v>
                </c:pt>
                <c:pt idx="39">
                  <c:v>33</c:v>
                </c:pt>
                <c:pt idx="40">
                  <c:v>17</c:v>
                </c:pt>
                <c:pt idx="50">
                  <c:v>12</c:v>
                </c:pt>
                <c:pt idx="52">
                  <c:v>32</c:v>
                </c:pt>
                <c:pt idx="54">
                  <c:v>20</c:v>
                </c:pt>
                <c:pt idx="57">
                  <c:v>24</c:v>
                </c:pt>
                <c:pt idx="59">
                  <c:v>34</c:v>
                </c:pt>
                <c:pt idx="61">
                  <c:v>40</c:v>
                </c:pt>
                <c:pt idx="64">
                  <c:v>61</c:v>
                </c:pt>
                <c:pt idx="65">
                  <c:v>33</c:v>
                </c:pt>
                <c:pt idx="66">
                  <c:v>41</c:v>
                </c:pt>
              </c:numCache>
            </c:numRef>
          </c:yVal>
          <c:smooth val="0"/>
          <c:extLst>
            <c:ext xmlns:c16="http://schemas.microsoft.com/office/drawing/2014/chart" uri="{C3380CC4-5D6E-409C-BE32-E72D297353CC}">
              <c16:uniqueId val="{00000001-3B58-A945-8A3B-A5D1F7901DA9}"/>
            </c:ext>
          </c:extLst>
        </c:ser>
        <c:dLbls>
          <c:showLegendKey val="0"/>
          <c:showVal val="0"/>
          <c:showCatName val="0"/>
          <c:showSerName val="0"/>
          <c:showPercent val="0"/>
          <c:showBubbleSize val="0"/>
        </c:dLbls>
        <c:axId val="948379567"/>
        <c:axId val="948822319"/>
      </c:scatterChart>
      <c:valAx>
        <c:axId val="948379567"/>
        <c:scaling>
          <c:orientation val="minMax"/>
        </c:scaling>
        <c:delete val="1"/>
        <c:axPos val="b"/>
        <c:numFmt formatCode="General" sourceLinked="1"/>
        <c:majorTickMark val="none"/>
        <c:minorTickMark val="none"/>
        <c:tickLblPos val="nextTo"/>
        <c:crossAx val="948822319"/>
        <c:crosses val="autoZero"/>
        <c:crossBetween val="midCat"/>
      </c:valAx>
      <c:valAx>
        <c:axId val="948822319"/>
        <c:scaling>
          <c:orientation val="minMax"/>
          <c:max val="65"/>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t>Points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48379567"/>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Nikola Jokic's Defensive Stat Per Game Averages in </a:t>
            </a:r>
            <a:r>
              <a:rPr lang="en-US" sz="1800" b="1">
                <a:solidFill>
                  <a:srgbClr val="0C2140"/>
                </a:solidFill>
              </a:rPr>
              <a:t>Wins</a:t>
            </a:r>
            <a:r>
              <a:rPr lang="en-US" sz="1800" b="1"/>
              <a:t> and </a:t>
            </a:r>
            <a:r>
              <a:rPr lang="en-US" sz="1800" b="1">
                <a:solidFill>
                  <a:srgbClr val="FFC627"/>
                </a:solidFill>
              </a:rPr>
              <a:t>Losses</a:t>
            </a:r>
            <a:r>
              <a:rPr lang="en-US" sz="1800" b="1" baseline="0"/>
              <a:t> </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DefVisual!$D$2</c:f>
              <c:strCache>
                <c:ptCount val="1"/>
                <c:pt idx="0">
                  <c:v> L </c:v>
                </c:pt>
              </c:strCache>
            </c:strRef>
          </c:tx>
          <c:spPr>
            <a:solidFill>
              <a:srgbClr val="FFC62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DefVisual!$B$3:$B$6</c:f>
              <c:strCache>
                <c:ptCount val="4"/>
                <c:pt idx="0">
                  <c:v>Average of DRB</c:v>
                </c:pt>
                <c:pt idx="1">
                  <c:v>Average of BLK</c:v>
                </c:pt>
                <c:pt idx="2">
                  <c:v>Average of STL</c:v>
                </c:pt>
                <c:pt idx="3">
                  <c:v>Average of PF</c:v>
                </c:pt>
              </c:strCache>
            </c:strRef>
          </c:cat>
          <c:val>
            <c:numRef>
              <c:f>DefVisual!$D$3:$D$6</c:f>
              <c:numCache>
                <c:formatCode>_(* #,##0.00_);_(* \(#,##0.00\);_(* "-"??_);_(@_)</c:formatCode>
                <c:ptCount val="4"/>
                <c:pt idx="0">
                  <c:v>9.2083333333333339</c:v>
                </c:pt>
                <c:pt idx="1">
                  <c:v>0.5</c:v>
                </c:pt>
                <c:pt idx="2">
                  <c:v>1.5416666666666667</c:v>
                </c:pt>
                <c:pt idx="3">
                  <c:v>2.3333333333333335</c:v>
                </c:pt>
              </c:numCache>
            </c:numRef>
          </c:val>
          <c:extLst>
            <c:ext xmlns:c16="http://schemas.microsoft.com/office/drawing/2014/chart" uri="{C3380CC4-5D6E-409C-BE32-E72D297353CC}">
              <c16:uniqueId val="{00000001-FD53-F245-838D-4FD32014E7F4}"/>
            </c:ext>
          </c:extLst>
        </c:ser>
        <c:ser>
          <c:idx val="0"/>
          <c:order val="1"/>
          <c:tx>
            <c:strRef>
              <c:f>DefVisual!$C$2</c:f>
              <c:strCache>
                <c:ptCount val="1"/>
                <c:pt idx="0">
                  <c:v> W </c:v>
                </c:pt>
              </c:strCache>
            </c:strRef>
          </c:tx>
          <c:spPr>
            <a:solidFill>
              <a:srgbClr val="0C214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DefVisual!$B$3:$B$6</c:f>
              <c:strCache>
                <c:ptCount val="4"/>
                <c:pt idx="0">
                  <c:v>Average of DRB</c:v>
                </c:pt>
                <c:pt idx="1">
                  <c:v>Average of BLK</c:v>
                </c:pt>
                <c:pt idx="2">
                  <c:v>Average of STL</c:v>
                </c:pt>
                <c:pt idx="3">
                  <c:v>Average of PF</c:v>
                </c:pt>
              </c:strCache>
            </c:strRef>
          </c:cat>
          <c:val>
            <c:numRef>
              <c:f>DefVisual!$C$3:$C$6</c:f>
              <c:numCache>
                <c:formatCode>_(* #,##0.00_);_(* \(#,##0.00\);_(* "-"??_);_(@_)</c:formatCode>
                <c:ptCount val="4"/>
                <c:pt idx="0">
                  <c:v>10.239130434782609</c:v>
                </c:pt>
                <c:pt idx="1">
                  <c:v>0.71739130434782605</c:v>
                </c:pt>
                <c:pt idx="2">
                  <c:v>1.9565217391304348</c:v>
                </c:pt>
                <c:pt idx="3">
                  <c:v>2.2608695652173911</c:v>
                </c:pt>
              </c:numCache>
            </c:numRef>
          </c:val>
          <c:extLst>
            <c:ext xmlns:c16="http://schemas.microsoft.com/office/drawing/2014/chart" uri="{C3380CC4-5D6E-409C-BE32-E72D297353CC}">
              <c16:uniqueId val="{00000000-FD53-F245-838D-4FD32014E7F4}"/>
            </c:ext>
          </c:extLst>
        </c:ser>
        <c:dLbls>
          <c:dLblPos val="outEnd"/>
          <c:showLegendKey val="0"/>
          <c:showVal val="1"/>
          <c:showCatName val="0"/>
          <c:showSerName val="0"/>
          <c:showPercent val="0"/>
          <c:showBubbleSize val="0"/>
        </c:dLbls>
        <c:gapWidth val="182"/>
        <c:axId val="13037951"/>
        <c:axId val="13149279"/>
      </c:barChart>
      <c:catAx>
        <c:axId val="13037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9279"/>
        <c:crosses val="autoZero"/>
        <c:auto val="1"/>
        <c:lblAlgn val="ctr"/>
        <c:lblOffset val="100"/>
        <c:noMultiLvlLbl val="0"/>
      </c:catAx>
      <c:valAx>
        <c:axId val="13149279"/>
        <c:scaling>
          <c:orientation val="minMax"/>
        </c:scaling>
        <c:delete val="1"/>
        <c:axPos val="b"/>
        <c:numFmt formatCode="_(* #,##0_);_(* \(#,##0\);_(* &quot;-&quot;_);_(@_)" sourceLinked="0"/>
        <c:majorTickMark val="none"/>
        <c:minorTickMark val="none"/>
        <c:tickLblPos val="nextTo"/>
        <c:crossAx val="1303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Nikola Jokic's Defensive</a:t>
            </a:r>
            <a:r>
              <a:rPr lang="en-US" sz="1800" b="1" baseline="0"/>
              <a:t> Possession Productivity in </a:t>
            </a:r>
            <a:r>
              <a:rPr lang="en-US" sz="1800" b="1" baseline="0">
                <a:solidFill>
                  <a:srgbClr val="0C2140"/>
                </a:solidFill>
              </a:rPr>
              <a:t>Wins</a:t>
            </a:r>
            <a:r>
              <a:rPr lang="en-US" sz="1800" b="1" baseline="0"/>
              <a:t> and </a:t>
            </a:r>
            <a:r>
              <a:rPr lang="en-US" sz="1800" b="1" baseline="0">
                <a:solidFill>
                  <a:srgbClr val="FFC627"/>
                </a:solidFill>
              </a:rPr>
              <a:t>Losses</a:t>
            </a:r>
            <a:r>
              <a:rPr lang="en-US" sz="1800" b="1" baseline="0"/>
              <a:t> </a:t>
            </a:r>
            <a:r>
              <a:rPr lang="en-US" sz="1800"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DefVisual!$D$11</c:f>
              <c:strCache>
                <c:ptCount val="1"/>
                <c:pt idx="0">
                  <c:v> L </c:v>
                </c:pt>
              </c:strCache>
            </c:strRef>
          </c:tx>
          <c:spPr>
            <a:solidFill>
              <a:srgbClr val="FFC62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DefVisual!$B$12:$B$14</c:f>
              <c:strCache>
                <c:ptCount val="3"/>
                <c:pt idx="0">
                  <c:v>Average of DRB%</c:v>
                </c:pt>
                <c:pt idx="1">
                  <c:v>Average of BLK%</c:v>
                </c:pt>
                <c:pt idx="2">
                  <c:v>Average of STL%</c:v>
                </c:pt>
              </c:strCache>
            </c:strRef>
          </c:cat>
          <c:val>
            <c:numRef>
              <c:f>DefVisual!$D$12:$D$14</c:f>
              <c:numCache>
                <c:formatCode>0.00%</c:formatCode>
                <c:ptCount val="3"/>
                <c:pt idx="0">
                  <c:v>0.26620833333333344</c:v>
                </c:pt>
                <c:pt idx="1">
                  <c:v>1.1958333333333335E-2</c:v>
                </c:pt>
                <c:pt idx="2">
                  <c:v>1.9666666666666676E-2</c:v>
                </c:pt>
              </c:numCache>
            </c:numRef>
          </c:val>
          <c:extLst>
            <c:ext xmlns:c16="http://schemas.microsoft.com/office/drawing/2014/chart" uri="{C3380CC4-5D6E-409C-BE32-E72D297353CC}">
              <c16:uniqueId val="{00000001-E6CF-914B-ADA0-1CBF99630EEF}"/>
            </c:ext>
          </c:extLst>
        </c:ser>
        <c:ser>
          <c:idx val="0"/>
          <c:order val="1"/>
          <c:tx>
            <c:strRef>
              <c:f>DefVisual!$C$11</c:f>
              <c:strCache>
                <c:ptCount val="1"/>
                <c:pt idx="0">
                  <c:v> W </c:v>
                </c:pt>
              </c:strCache>
            </c:strRef>
          </c:tx>
          <c:spPr>
            <a:solidFill>
              <a:srgbClr val="0C214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DefVisual!$B$12:$B$14</c:f>
              <c:strCache>
                <c:ptCount val="3"/>
                <c:pt idx="0">
                  <c:v>Average of DRB%</c:v>
                </c:pt>
                <c:pt idx="1">
                  <c:v>Average of BLK%</c:v>
                </c:pt>
                <c:pt idx="2">
                  <c:v>Average of STL%</c:v>
                </c:pt>
              </c:strCache>
            </c:strRef>
          </c:cat>
          <c:val>
            <c:numRef>
              <c:f>DefVisual!$C$12:$C$14</c:f>
              <c:numCache>
                <c:formatCode>0.00%</c:formatCode>
                <c:ptCount val="3"/>
                <c:pt idx="0">
                  <c:v>0.29134782608695653</c:v>
                </c:pt>
                <c:pt idx="1">
                  <c:v>1.6543478260869569E-2</c:v>
                </c:pt>
                <c:pt idx="2">
                  <c:v>2.6021739130434783E-2</c:v>
                </c:pt>
              </c:numCache>
            </c:numRef>
          </c:val>
          <c:extLst>
            <c:ext xmlns:c16="http://schemas.microsoft.com/office/drawing/2014/chart" uri="{C3380CC4-5D6E-409C-BE32-E72D297353CC}">
              <c16:uniqueId val="{00000000-E6CF-914B-ADA0-1CBF99630EEF}"/>
            </c:ext>
          </c:extLst>
        </c:ser>
        <c:dLbls>
          <c:dLblPos val="outEnd"/>
          <c:showLegendKey val="0"/>
          <c:showVal val="1"/>
          <c:showCatName val="0"/>
          <c:showSerName val="0"/>
          <c:showPercent val="0"/>
          <c:showBubbleSize val="0"/>
        </c:dLbls>
        <c:gapWidth val="182"/>
        <c:axId val="272751167"/>
        <c:axId val="272752879"/>
      </c:barChart>
      <c:catAx>
        <c:axId val="272751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752879"/>
        <c:crosses val="autoZero"/>
        <c:auto val="1"/>
        <c:lblAlgn val="ctr"/>
        <c:lblOffset val="100"/>
        <c:noMultiLvlLbl val="0"/>
      </c:catAx>
      <c:valAx>
        <c:axId val="272752879"/>
        <c:scaling>
          <c:orientation val="minMax"/>
        </c:scaling>
        <c:delete val="1"/>
        <c:axPos val="b"/>
        <c:numFmt formatCode="0.00%" sourceLinked="1"/>
        <c:majorTickMark val="none"/>
        <c:minorTickMark val="none"/>
        <c:tickLblPos val="nextTo"/>
        <c:crossAx val="27275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1" Type="http://schemas.openxmlformats.org/officeDocument/2006/relationships/image" Target="../media/image5.emf"/></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xml"/></Relationships>
</file>

<file path=xl/drawings/_rels/drawing9.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xdr:col>
      <xdr:colOff>1186263</xdr:colOff>
      <xdr:row>3</xdr:row>
      <xdr:rowOff>97693</xdr:rowOff>
    </xdr:from>
    <xdr:to>
      <xdr:col>7</xdr:col>
      <xdr:colOff>230274</xdr:colOff>
      <xdr:row>25</xdr:row>
      <xdr:rowOff>79903</xdr:rowOff>
    </xdr:to>
    <xdr:pic>
      <xdr:nvPicPr>
        <xdr:cNvPr id="4" name="Picture 3" descr="Jokic misplaced Finals MVP trophy after winning championship | theScore.com">
          <a:extLst>
            <a:ext uri="{FF2B5EF4-FFF2-40B4-BE49-F238E27FC236}">
              <a16:creationId xmlns:a16="http://schemas.microsoft.com/office/drawing/2014/main" id="{83B50F69-98B1-9048-9B08-4401F164FB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30494" y="1011814"/>
          <a:ext cx="5945275" cy="44341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117593</xdr:colOff>
      <xdr:row>23</xdr:row>
      <xdr:rowOff>141111</xdr:rowOff>
    </xdr:from>
    <xdr:to>
      <xdr:col>8</xdr:col>
      <xdr:colOff>533087</xdr:colOff>
      <xdr:row>30</xdr:row>
      <xdr:rowOff>172469</xdr:rowOff>
    </xdr:to>
    <xdr:sp macro="" textlink="">
      <xdr:nvSpPr>
        <xdr:cNvPr id="6" name="TextBox 5">
          <a:extLst>
            <a:ext uri="{FF2B5EF4-FFF2-40B4-BE49-F238E27FC236}">
              <a16:creationId xmlns:a16="http://schemas.microsoft.com/office/drawing/2014/main" id="{16853388-5753-FC92-F1FB-1FF23D631D8F}"/>
            </a:ext>
          </a:extLst>
        </xdr:cNvPr>
        <xdr:cNvSpPr txBox="1"/>
      </xdr:nvSpPr>
      <xdr:spPr>
        <a:xfrm>
          <a:off x="360618" y="4829136"/>
          <a:ext cx="7110432" cy="14581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With the recent success the Denver Nuggets have had in the past few seasons, one might wonder, why is this team consistenly at the top of their conference? Nikola Jokic is about as simple an answer you could give. No one would push back on this answer but they may be curious about what Jokic does that helps him lead his team to wins. A casual fan might say it's his scoring ability. After all, the winner of a basketball game is the one who scores the most points. However, a quick plot of Jokic's points scored in each game of the previous season shows there's no real relationship between points scored in a loss and points scored in a win. We'll need to take a deeper look into what makes the MVP so productive. </a:t>
          </a:r>
          <a:endParaRPr lang="en-US" sz="1100"/>
        </a:p>
      </xdr:txBody>
    </xdr:sp>
    <xdr:clientData/>
  </xdr:twoCellAnchor>
  <xdr:twoCellAnchor editAs="oneCell">
    <xdr:from>
      <xdr:col>1</xdr:col>
      <xdr:colOff>0</xdr:colOff>
      <xdr:row>1</xdr:row>
      <xdr:rowOff>0</xdr:rowOff>
    </xdr:from>
    <xdr:to>
      <xdr:col>9</xdr:col>
      <xdr:colOff>121042</xdr:colOff>
      <xdr:row>23</xdr:row>
      <xdr:rowOff>110662</xdr:rowOff>
    </xdr:to>
    <xdr:pic>
      <xdr:nvPicPr>
        <xdr:cNvPr id="7" name="Picture 6">
          <a:extLst>
            <a:ext uri="{FF2B5EF4-FFF2-40B4-BE49-F238E27FC236}">
              <a16:creationId xmlns:a16="http://schemas.microsoft.com/office/drawing/2014/main" id="{FFE5BBC5-011D-EC43-80FA-BEE11F12F955}"/>
            </a:ext>
          </a:extLst>
        </xdr:cNvPr>
        <xdr:cNvPicPr>
          <a:picLocks noChangeAspect="1"/>
        </xdr:cNvPicPr>
      </xdr:nvPicPr>
      <xdr:blipFill>
        <a:blip xmlns:r="http://schemas.openxmlformats.org/officeDocument/2006/relationships" r:embed="rId1"/>
        <a:stretch>
          <a:fillRect/>
        </a:stretch>
      </xdr:blipFill>
      <xdr:spPr>
        <a:xfrm>
          <a:off x="243025" y="203827"/>
          <a:ext cx="7772400" cy="45948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7987</xdr:colOff>
      <xdr:row>17</xdr:row>
      <xdr:rowOff>7987</xdr:rowOff>
    </xdr:from>
    <xdr:to>
      <xdr:col>8</xdr:col>
      <xdr:colOff>450919</xdr:colOff>
      <xdr:row>25</xdr:row>
      <xdr:rowOff>143774</xdr:rowOff>
    </xdr:to>
    <xdr:sp macro="" textlink="">
      <xdr:nvSpPr>
        <xdr:cNvPr id="2" name="TextBox 1">
          <a:extLst>
            <a:ext uri="{FF2B5EF4-FFF2-40B4-BE49-F238E27FC236}">
              <a16:creationId xmlns:a16="http://schemas.microsoft.com/office/drawing/2014/main" id="{B7540DF3-A0FD-B444-A060-050CFC82F7D3}"/>
            </a:ext>
          </a:extLst>
        </xdr:cNvPr>
        <xdr:cNvSpPr txBox="1"/>
      </xdr:nvSpPr>
      <xdr:spPr>
        <a:xfrm>
          <a:off x="247610" y="3402641"/>
          <a:ext cx="7352051" cy="17332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Ultimately, the question I wanted to answer was </a:t>
          </a:r>
          <a:r>
            <a:rPr lang="en-US" sz="1100" b="1" baseline="0"/>
            <a:t>what is the biggest difference between Jokic's performance in a win versus a loss? </a:t>
          </a:r>
          <a:r>
            <a:rPr lang="en-US" sz="1100" baseline="0"/>
            <a:t>I used 2 different data sets from https://www.basketball-reference.com/players/j/jokicni01/gamelog/2025/ and after some consolidation and data cleaning, I got to work on the analysis. To gain some high level insight, I calculated the different between performance in a loss and performance in a win on the various statistics that I gathered. The tables above provide some highlights. I noticed not a lot iof variance in the offensive stats but a big point of emphasis that carried me forward was the Defensive Rating (DRtg)* being 13 points lower on average in a loss than a win. This warrants a deeper look. </a:t>
          </a:r>
        </a:p>
        <a:p>
          <a:endParaRPr lang="en-US" sz="1100" i="1"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t>*defined </a:t>
          </a:r>
          <a:r>
            <a:rPr lang="en-US" sz="1100" i="1" baseline="0">
              <a:solidFill>
                <a:schemeClr val="dk1"/>
              </a:solidFill>
              <a:latin typeface="+mn-lt"/>
              <a:ea typeface="+mn-ea"/>
              <a:cs typeface="+mn-cs"/>
            </a:rPr>
            <a:t>as "An estimate of points allowed per 100 possessions" by basketball-reference.com. </a:t>
          </a:r>
        </a:p>
        <a:p>
          <a:endParaRPr lang="en-US" sz="1100" i="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475401</xdr:colOff>
      <xdr:row>10</xdr:row>
      <xdr:rowOff>164052</xdr:rowOff>
    </xdr:from>
    <xdr:to>
      <xdr:col>11</xdr:col>
      <xdr:colOff>305598</xdr:colOff>
      <xdr:row>22</xdr:row>
      <xdr:rowOff>186994</xdr:rowOff>
    </xdr:to>
    <xdr:sp macro="" textlink="">
      <xdr:nvSpPr>
        <xdr:cNvPr id="2" name="TextBox 1">
          <a:extLst>
            <a:ext uri="{FF2B5EF4-FFF2-40B4-BE49-F238E27FC236}">
              <a16:creationId xmlns:a16="http://schemas.microsoft.com/office/drawing/2014/main" id="{8AE2BAF4-517F-4243-85AF-53EEC1A8391A}"/>
            </a:ext>
          </a:extLst>
        </xdr:cNvPr>
        <xdr:cNvSpPr txBox="1"/>
      </xdr:nvSpPr>
      <xdr:spPr>
        <a:xfrm>
          <a:off x="7370800" y="2189819"/>
          <a:ext cx="2681853" cy="24538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To dive deeper into the defensive side of Nikola's game, I made a couple of cluster bar charts to visually represent the differences in averages in major categories. This very well demonstrates that in wins, Jokic is, on average, performing better in each tracked catergory on both pure output and production rate. Less fouls, more steals, blocks, and defensive rebounds all lead to fewer shot attempts for the opposing team and get the ball back in the hands of your offense. Let's see what else we can discover. </a:t>
          </a:r>
          <a:endParaRPr lang="en-US" sz="1100"/>
        </a:p>
      </xdr:txBody>
    </xdr:sp>
    <xdr:clientData/>
  </xdr:twoCellAnchor>
  <xdr:twoCellAnchor editAs="oneCell">
    <xdr:from>
      <xdr:col>1</xdr:col>
      <xdr:colOff>0</xdr:colOff>
      <xdr:row>0</xdr:row>
      <xdr:rowOff>201341</xdr:rowOff>
    </xdr:from>
    <xdr:to>
      <xdr:col>8</xdr:col>
      <xdr:colOff>436319</xdr:colOff>
      <xdr:row>15</xdr:row>
      <xdr:rowOff>147423</xdr:rowOff>
    </xdr:to>
    <xdr:pic>
      <xdr:nvPicPr>
        <xdr:cNvPr id="3" name="Picture 2">
          <a:extLst>
            <a:ext uri="{FF2B5EF4-FFF2-40B4-BE49-F238E27FC236}">
              <a16:creationId xmlns:a16="http://schemas.microsoft.com/office/drawing/2014/main" id="{FEBA6877-55C5-FA0A-F802-F149E738F7CC}"/>
            </a:ext>
          </a:extLst>
        </xdr:cNvPr>
        <xdr:cNvPicPr>
          <a:picLocks noChangeAspect="1"/>
        </xdr:cNvPicPr>
      </xdr:nvPicPr>
      <xdr:blipFill>
        <a:blip xmlns:r="http://schemas.openxmlformats.org/officeDocument/2006/relationships" r:embed="rId1"/>
        <a:stretch>
          <a:fillRect/>
        </a:stretch>
      </xdr:blipFill>
      <xdr:spPr>
        <a:xfrm>
          <a:off x="241534" y="201341"/>
          <a:ext cx="7090184" cy="2984732"/>
        </a:xfrm>
        <a:prstGeom prst="rect">
          <a:avLst/>
        </a:prstGeom>
      </xdr:spPr>
    </xdr:pic>
    <xdr:clientData/>
  </xdr:twoCellAnchor>
  <xdr:twoCellAnchor editAs="oneCell">
    <xdr:from>
      <xdr:col>1</xdr:col>
      <xdr:colOff>23519</xdr:colOff>
      <xdr:row>15</xdr:row>
      <xdr:rowOff>141111</xdr:rowOff>
    </xdr:from>
    <xdr:to>
      <xdr:col>8</xdr:col>
      <xdr:colOff>483750</xdr:colOff>
      <xdr:row>31</xdr:row>
      <xdr:rowOff>62332</xdr:rowOff>
    </xdr:to>
    <xdr:pic>
      <xdr:nvPicPr>
        <xdr:cNvPr id="4" name="Picture 3">
          <a:extLst>
            <a:ext uri="{FF2B5EF4-FFF2-40B4-BE49-F238E27FC236}">
              <a16:creationId xmlns:a16="http://schemas.microsoft.com/office/drawing/2014/main" id="{DB0114CE-1B06-4A4F-A2C4-7092C332A340}"/>
            </a:ext>
          </a:extLst>
        </xdr:cNvPr>
        <xdr:cNvPicPr>
          <a:picLocks noChangeAspect="1"/>
        </xdr:cNvPicPr>
      </xdr:nvPicPr>
      <xdr:blipFill>
        <a:blip xmlns:r="http://schemas.openxmlformats.org/officeDocument/2006/relationships" r:embed="rId2"/>
        <a:stretch>
          <a:fillRect/>
        </a:stretch>
      </xdr:blipFill>
      <xdr:spPr>
        <a:xfrm>
          <a:off x="265053" y="3179761"/>
          <a:ext cx="7114096" cy="316244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509854</xdr:colOff>
      <xdr:row>22</xdr:row>
      <xdr:rowOff>46351</xdr:rowOff>
    </xdr:from>
    <xdr:to>
      <xdr:col>9</xdr:col>
      <xdr:colOff>239588</xdr:colOff>
      <xdr:row>30</xdr:row>
      <xdr:rowOff>154022</xdr:rowOff>
    </xdr:to>
    <xdr:sp macro="" textlink="">
      <xdr:nvSpPr>
        <xdr:cNvPr id="2" name="TextBox 1">
          <a:extLst>
            <a:ext uri="{FF2B5EF4-FFF2-40B4-BE49-F238E27FC236}">
              <a16:creationId xmlns:a16="http://schemas.microsoft.com/office/drawing/2014/main" id="{570A72E9-D389-C34D-800B-8425E880C073}"/>
            </a:ext>
          </a:extLst>
        </xdr:cNvPr>
        <xdr:cNvSpPr txBox="1"/>
      </xdr:nvSpPr>
      <xdr:spPr>
        <a:xfrm>
          <a:off x="750876" y="4533066"/>
          <a:ext cx="7368274" cy="17392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The next point I wanted to explore was what factors could lead to a nice, low DRtg. I decided to run an analysis with Plus/Minus because there are 2 components to having a positive Plus/Minus statistic, scoring more and getting defensive stops, and I wanted to see what relationship existed and how strong it is. To see a relationship, I plotted Plus/Minus against Defensive Rating and the displayed trend is not surprising. It is very easy to see how a worse DRtg would make it more difficult to have a positive Plus/Minus for the game. I then ran a regression to see how much each variable would represent of the other and got on R^2 of approx. 36%, confirming a mild yet considerable relationship given the endless variables of an NBA basketball game. </a:t>
          </a:r>
          <a:endParaRPr lang="en-US" sz="1100" i="1" baseline="0">
            <a:solidFill>
              <a:schemeClr val="dk1"/>
            </a:solidFill>
            <a:latin typeface="+mn-lt"/>
            <a:ea typeface="+mn-ea"/>
            <a:cs typeface="+mn-cs"/>
          </a:endParaRPr>
        </a:p>
        <a:p>
          <a:endParaRPr lang="en-US" sz="1100" i="1"/>
        </a:p>
      </xdr:txBody>
    </xdr:sp>
    <xdr:clientData/>
  </xdr:twoCellAnchor>
  <xdr:twoCellAnchor editAs="oneCell">
    <xdr:from>
      <xdr:col>1</xdr:col>
      <xdr:colOff>0</xdr:colOff>
      <xdr:row>1</xdr:row>
      <xdr:rowOff>0</xdr:rowOff>
    </xdr:from>
    <xdr:to>
      <xdr:col>9</xdr:col>
      <xdr:colOff>152400</xdr:colOff>
      <xdr:row>21</xdr:row>
      <xdr:rowOff>192549</xdr:rowOff>
    </xdr:to>
    <xdr:pic>
      <xdr:nvPicPr>
        <xdr:cNvPr id="4" name="Picture 3">
          <a:extLst>
            <a:ext uri="{FF2B5EF4-FFF2-40B4-BE49-F238E27FC236}">
              <a16:creationId xmlns:a16="http://schemas.microsoft.com/office/drawing/2014/main" id="{22818C0C-1B9C-793F-2B81-FD8A1EAC34CB}"/>
            </a:ext>
          </a:extLst>
        </xdr:cNvPr>
        <xdr:cNvPicPr>
          <a:picLocks noChangeAspect="1"/>
        </xdr:cNvPicPr>
      </xdr:nvPicPr>
      <xdr:blipFill>
        <a:blip xmlns:r="http://schemas.openxmlformats.org/officeDocument/2006/relationships" r:embed="rId1"/>
        <a:stretch>
          <a:fillRect/>
        </a:stretch>
      </xdr:blipFill>
      <xdr:spPr>
        <a:xfrm>
          <a:off x="241300" y="203200"/>
          <a:ext cx="7772400" cy="425654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xdr:row>
      <xdr:rowOff>1</xdr:rowOff>
    </xdr:from>
    <xdr:to>
      <xdr:col>8</xdr:col>
      <xdr:colOff>209342</xdr:colOff>
      <xdr:row>24</xdr:row>
      <xdr:rowOff>24889</xdr:rowOff>
    </xdr:to>
    <xdr:pic>
      <xdr:nvPicPr>
        <xdr:cNvPr id="2" name="Picture 1" descr="Complete this sentence, Jokic is currently a top ___ player of all time,  but with a 2nd championship he will become a top ___ player of all time :  r/NBATalk">
          <a:extLst>
            <a:ext uri="{FF2B5EF4-FFF2-40B4-BE49-F238E27FC236}">
              <a16:creationId xmlns:a16="http://schemas.microsoft.com/office/drawing/2014/main" id="{F533AAB4-3AAD-359F-B098-43AB96EDCD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232" y="202364"/>
          <a:ext cx="6901264" cy="46792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91412</xdr:colOff>
      <xdr:row>24</xdr:row>
      <xdr:rowOff>128396</xdr:rowOff>
    </xdr:from>
    <xdr:to>
      <xdr:col>8</xdr:col>
      <xdr:colOff>320990</xdr:colOff>
      <xdr:row>34</xdr:row>
      <xdr:rowOff>20934</xdr:rowOff>
    </xdr:to>
    <xdr:sp macro="" textlink="">
      <xdr:nvSpPr>
        <xdr:cNvPr id="3" name="TextBox 2">
          <a:extLst>
            <a:ext uri="{FF2B5EF4-FFF2-40B4-BE49-F238E27FC236}">
              <a16:creationId xmlns:a16="http://schemas.microsoft.com/office/drawing/2014/main" id="{E0221583-46E0-4546-B848-741B28153D0F}"/>
            </a:ext>
          </a:extLst>
        </xdr:cNvPr>
        <xdr:cNvSpPr txBox="1"/>
      </xdr:nvSpPr>
      <xdr:spPr>
        <a:xfrm>
          <a:off x="335643" y="4985099"/>
          <a:ext cx="6921501" cy="191616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In the end, this is only scratching the surface of what could be done to uncover trends, patterns, and meaningful representations in the performance of Nikola Jokic over an entire season. The analysis done here makes a few assumptions that are worth addressing. For example, averages were used heavily in my work to get an idea of what we might expect Jokic to do in a given game. In addition to being a potential over-simplification, it also puts more weight on stats that come from a loss compared to a win because there were more wins than losses over the course of the season I pulled the data from. This has the potential to extrapolate other factors like playing at home vs away, the amount of rest between games, the health of others on the team and your opponents, the list goes on. In all, I hope I've generated some thought around the idea that even the best atheletes in the world have to be multi-faceted in order to dominate their respective professions. In this case, my analysis would suggest it's worth-while for Jokic to put effort into getting stops on defense so that he has more opportunities on offense to continue making those breath-taking passes and winning NBA championships. </a:t>
          </a:r>
          <a:endParaRPr lang="en-US" sz="1100" i="1" baseline="0">
            <a:solidFill>
              <a:schemeClr val="dk1"/>
            </a:solidFill>
            <a:latin typeface="+mn-lt"/>
            <a:ea typeface="+mn-ea"/>
            <a:cs typeface="+mn-cs"/>
          </a:endParaRPr>
        </a:p>
        <a:p>
          <a:endParaRPr lang="en-US" sz="1100" i="1"/>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400050</xdr:colOff>
      <xdr:row>20</xdr:row>
      <xdr:rowOff>196850</xdr:rowOff>
    </xdr:from>
    <xdr:to>
      <xdr:col>16</xdr:col>
      <xdr:colOff>419100</xdr:colOff>
      <xdr:row>47</xdr:row>
      <xdr:rowOff>177800</xdr:rowOff>
    </xdr:to>
    <xdr:graphicFrame macro="">
      <xdr:nvGraphicFramePr>
        <xdr:cNvPr id="4" name="Chart 3">
          <a:extLst>
            <a:ext uri="{FF2B5EF4-FFF2-40B4-BE49-F238E27FC236}">
              <a16:creationId xmlns:a16="http://schemas.microsoft.com/office/drawing/2014/main" id="{35850CD0-B704-DA6B-B37D-7C812496C2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152400</xdr:colOff>
      <xdr:row>30</xdr:row>
      <xdr:rowOff>127000</xdr:rowOff>
    </xdr:from>
    <xdr:to>
      <xdr:col>40</xdr:col>
      <xdr:colOff>76200</xdr:colOff>
      <xdr:row>55</xdr:row>
      <xdr:rowOff>152400</xdr:rowOff>
    </xdr:to>
    <xdr:graphicFrame macro="">
      <xdr:nvGraphicFramePr>
        <xdr:cNvPr id="3" name="Chart 2">
          <a:extLst>
            <a:ext uri="{FF2B5EF4-FFF2-40B4-BE49-F238E27FC236}">
              <a16:creationId xmlns:a16="http://schemas.microsoft.com/office/drawing/2014/main" id="{C69939AA-C373-2350-28D6-34D994A54E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279400</xdr:colOff>
      <xdr:row>1</xdr:row>
      <xdr:rowOff>139700</xdr:rowOff>
    </xdr:from>
    <xdr:to>
      <xdr:col>15</xdr:col>
      <xdr:colOff>812800</xdr:colOff>
      <xdr:row>20</xdr:row>
      <xdr:rowOff>114300</xdr:rowOff>
    </xdr:to>
    <xdr:graphicFrame macro="">
      <xdr:nvGraphicFramePr>
        <xdr:cNvPr id="3" name="Chart 2">
          <a:extLst>
            <a:ext uri="{FF2B5EF4-FFF2-40B4-BE49-F238E27FC236}">
              <a16:creationId xmlns:a16="http://schemas.microsoft.com/office/drawing/2014/main" id="{9CB476CD-87DD-216F-1B30-CBCC13E631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228600</xdr:colOff>
      <xdr:row>21</xdr:row>
      <xdr:rowOff>50800</xdr:rowOff>
    </xdr:from>
    <xdr:to>
      <xdr:col>16</xdr:col>
      <xdr:colOff>38100</xdr:colOff>
      <xdr:row>41</xdr:row>
      <xdr:rowOff>139700</xdr:rowOff>
    </xdr:to>
    <xdr:graphicFrame macro="">
      <xdr:nvGraphicFramePr>
        <xdr:cNvPr id="4" name="Chart 3">
          <a:extLst>
            <a:ext uri="{FF2B5EF4-FFF2-40B4-BE49-F238E27FC236}">
              <a16:creationId xmlns:a16="http://schemas.microsoft.com/office/drawing/2014/main" id="{4BC0B2AC-66D5-7B74-AD65-B9BAA297E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rien Barnes" refreshedDate="46009.846181712965" createdVersion="8" refreshedVersion="8" minRefreshableVersion="3" recordCount="82" xr:uid="{649FF91D-D265-2F4F-81F9-72C8E9703914}">
  <cacheSource type="worksheet">
    <worksheetSource ref="B1:BB83" sheet="    #StatsTable"/>
  </cacheSource>
  <cacheFields count="53">
    <cacheField name="Gplayed" numFmtId="0">
      <sharedItems containsSemiMixedTypes="0" containsString="0" containsNumber="1" containsInteger="1" minValue="1" maxValue="70" count="7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sharedItems>
    </cacheField>
    <cacheField name="Gcar" numFmtId="0">
      <sharedItems containsString="0" containsBlank="1" containsNumber="1" containsInteger="1" minValue="676" maxValue="745"/>
    </cacheField>
    <cacheField name="Gseason" numFmtId="0">
      <sharedItems containsSemiMixedTypes="0" containsString="0" containsNumber="1" containsInteger="1" minValue="1" maxValue="82"/>
    </cacheField>
    <cacheField name="Date" numFmtId="14">
      <sharedItems containsSemiMixedTypes="0" containsNonDate="0" containsDate="1" containsString="0" minDate="2024-10-24T00:00:00" maxDate="2025-04-14T00:00:00"/>
    </cacheField>
    <cacheField name="Team" numFmtId="0">
      <sharedItems/>
    </cacheField>
    <cacheField name="Home/Away" numFmtId="0">
      <sharedItems containsBlank="1"/>
    </cacheField>
    <cacheField name="Opp" numFmtId="0">
      <sharedItems/>
    </cacheField>
    <cacheField name="Result" numFmtId="0">
      <sharedItems count="81">
        <s v="L, 87-102"/>
        <s v="L, 104-109"/>
        <s v="W, 127-125 (OT)"/>
        <s v="W, 144-139 (OT)"/>
        <s v="L, 116-119"/>
        <s v="W, 129-103"/>
        <s v="W, 121-119"/>
        <s v="W, 124-122"/>
        <s v="W, 135-122"/>
        <s v="W, 122-120"/>
        <s v="L, 94-101"/>
        <s v="L, 90-105"/>
        <s v="W, 122-110"/>
        <s v="L, 120-123"/>
        <s v="W, 127-102"/>
        <s v="L, 118-145"/>
        <s v="W, 122-103"/>
        <s v="L, 122-126"/>
        <s v="W, 119-115"/>
        <s v="L, 114-126"/>
        <s v="L, 113-122"/>
        <s v="W, 141-111"/>
        <s v="W, 120-98"/>
        <s v="W, 130-129"/>
        <s v="L, 124-126"/>
        <s v="W, 132-129 (OT)"/>
        <s v="W, 117-90"/>
        <s v="L, 100-110"/>
        <s v="L, 135-149"/>
        <s v="W, 134-121"/>
        <s v="W, 132-121"/>
        <s v="W, 139-120"/>
        <s v="L, 110-113"/>
        <s v="W, 122-111 (OT)"/>
        <s v="L, 106-118"/>
        <s v="W, 126-103"/>
        <s v="W, 124-105"/>
        <s v="W, 112-101"/>
        <s v="W, 118-99"/>
        <s v="L, 108-128"/>
        <s v="W, 133-113"/>
        <s v="W, 113-100"/>
        <s v="W, 144-109"/>
        <s v="W, 132-123"/>
        <s v="L, 104-133"/>
        <s v="L, 121-129"/>
        <s v="L, 112-122"/>
        <s v="W, 137-134"/>
        <s v="W, 107-104"/>
        <s v="W, 125-113"/>
        <s v="W, 144-119"/>
        <s v="W, 112-90"/>
        <s v="W, 122-105"/>
        <s v="W, 146-117"/>
        <s v="W, 129-115"/>
        <s v="L, 100-123"/>
        <s v="W, 125-116"/>
        <s v="L, 112-121"/>
        <s v="W, 134-119"/>
        <s v="L, 103-110"/>
        <s v="W, 116-110"/>
        <s v="W, 149-141 (OT)"/>
        <s v="L, 103-127"/>
        <s v="W, 140-127"/>
        <s v="L, 95-115"/>
        <s v="W, 131-126"/>
        <s v="L, 123-126"/>
        <s v="W, 114-105"/>
        <s v="L, 108-120"/>
        <s v="L, 109-128"/>
        <s v="W, 116-111"/>
        <s v="L, 119-129"/>
        <s v="W, 127-117"/>
        <s v="W, 129-93"/>
        <s v="L, 139-140 (2OT)"/>
        <s v="L, 106-113"/>
        <s v="L, 104-118"/>
        <s v="L, 120-125"/>
        <s v="W, 124-116"/>
        <s v="W, 117-109"/>
        <s v="W, 126-111"/>
      </sharedItems>
    </cacheField>
    <cacheField name="DENPts" numFmtId="0">
      <sharedItems containsSemiMixedTypes="0" containsString="0" containsNumber="1" containsInteger="1" minValue="87" maxValue="149"/>
    </cacheField>
    <cacheField name="OppPts" numFmtId="0">
      <sharedItems containsSemiMixedTypes="0" containsString="0" containsNumber="1" containsInteger="1" minValue="90" maxValue="149"/>
    </cacheField>
    <cacheField name="W/L" numFmtId="0">
      <sharedItems count="2">
        <s v="L"/>
        <s v="W"/>
      </sharedItems>
    </cacheField>
    <cacheField name="CumulW" numFmtId="0">
      <sharedItems containsSemiMixedTypes="0" containsString="0" containsNumber="1" containsInteger="1" minValue="0" maxValue="50"/>
    </cacheField>
    <cacheField name="CumulL" numFmtId="0">
      <sharedItems containsSemiMixedTypes="0" containsString="0" containsNumber="1" containsInteger="1" minValue="1" maxValue="32"/>
    </cacheField>
    <cacheField name="GS" numFmtId="0">
      <sharedItems/>
    </cacheField>
    <cacheField name="MP" numFmtId="0">
      <sharedItems containsDate="1" containsMixedTypes="1" minDate="1899-12-31T04:38:00" maxDate="1900-01-01T04:38:00"/>
    </cacheField>
    <cacheField name="FG" numFmtId="169">
      <sharedItems containsMixedTypes="1" containsNumber="1" containsInteger="1" minValue="2" maxValue="22"/>
    </cacheField>
    <cacheField name="FGA" numFmtId="169">
      <sharedItems containsMixedTypes="1" containsNumber="1" containsInteger="1" minValue="7" maxValue="39"/>
    </cacheField>
    <cacheField name="FG%" numFmtId="174">
      <sharedItems containsMixedTypes="1" containsNumber="1" minValue="0.28599999999999998" maxValue="0.84599999999999997"/>
    </cacheField>
    <cacheField name="3P" numFmtId="169">
      <sharedItems containsMixedTypes="1" containsNumber="1" containsInteger="1" minValue="0" maxValue="7"/>
    </cacheField>
    <cacheField name="3PA" numFmtId="169">
      <sharedItems containsMixedTypes="1" containsNumber="1" containsInteger="1" minValue="0" maxValue="14"/>
    </cacheField>
    <cacheField name="3P%" numFmtId="174">
      <sharedItems containsMixedTypes="1" containsNumber="1" minValue="0" maxValue="1"/>
    </cacheField>
    <cacheField name="2P" numFmtId="169">
      <sharedItems containsMixedTypes="1" containsNumber="1" containsInteger="1" minValue="2" maxValue="19"/>
    </cacheField>
    <cacheField name="2PA" numFmtId="169">
      <sharedItems containsMixedTypes="1" containsNumber="1" containsInteger="1" minValue="5" maxValue="33"/>
    </cacheField>
    <cacheField name="2P%" numFmtId="174">
      <sharedItems containsMixedTypes="1" containsNumber="1" minValue="0.33300000000000002" maxValue="0.90900000000000003"/>
    </cacheField>
    <cacheField name="eFG%" numFmtId="174">
      <sharedItems containsMixedTypes="1" containsNumber="1" minValue="0.28599999999999998" maxValue="0.88500000000000001"/>
    </cacheField>
    <cacheField name="FT" numFmtId="169">
      <sharedItems containsMixedTypes="1" containsNumber="1" containsInteger="1" minValue="0" maxValue="19"/>
    </cacheField>
    <cacheField name="FTA" numFmtId="169">
      <sharedItems containsMixedTypes="1" containsNumber="1" containsInteger="1" minValue="0" maxValue="24"/>
    </cacheField>
    <cacheField name="FT%" numFmtId="174">
      <sharedItems containsMixedTypes="1" containsNumber="1" minValue="0" maxValue="1"/>
    </cacheField>
    <cacheField name="ORB" numFmtId="169">
      <sharedItems containsMixedTypes="1" containsNumber="1" containsInteger="1" minValue="0" maxValue="8"/>
    </cacheField>
    <cacheField name="DRB" numFmtId="169">
      <sharedItems containsMixedTypes="1" containsNumber="1" containsInteger="1" minValue="2" maxValue="19" count="17">
        <n v="8"/>
        <n v="6"/>
        <n v="7"/>
        <n v="12"/>
        <n v="11"/>
        <n v="9"/>
        <n v="13"/>
        <n v="10"/>
        <s v="-"/>
        <n v="4"/>
        <n v="17"/>
        <n v="2"/>
        <n v="15"/>
        <n v="14"/>
        <n v="5"/>
        <n v="19"/>
        <n v="16"/>
      </sharedItems>
    </cacheField>
    <cacheField name="TRB" numFmtId="169">
      <sharedItems containsMixedTypes="1" containsNumber="1" containsInteger="1" minValue="2" maxValue="22"/>
    </cacheField>
    <cacheField name="AST" numFmtId="169">
      <sharedItems containsMixedTypes="1" containsNumber="1" containsInteger="1" minValue="2" maxValue="22"/>
    </cacheField>
    <cacheField name="STL" numFmtId="169">
      <sharedItems containsMixedTypes="1" containsNumber="1" containsInteger="1" minValue="0" maxValue="5" count="7">
        <n v="2"/>
        <n v="1"/>
        <n v="0"/>
        <n v="3"/>
        <s v="-"/>
        <n v="5"/>
        <n v="4"/>
      </sharedItems>
    </cacheField>
    <cacheField name="BLK" numFmtId="169">
      <sharedItems containsMixedTypes="1" containsNumber="1" containsInteger="1" minValue="0" maxValue="3" count="5">
        <n v="1"/>
        <n v="2"/>
        <n v="0"/>
        <s v="-"/>
        <n v="3"/>
      </sharedItems>
    </cacheField>
    <cacheField name="TOV" numFmtId="169">
      <sharedItems containsMixedTypes="1" containsNumber="1" containsInteger="1" minValue="0" maxValue="7"/>
    </cacheField>
    <cacheField name="PF" numFmtId="169">
      <sharedItems containsMixedTypes="1" containsNumber="1" containsInteger="1" minValue="0" maxValue="5" count="7">
        <n v="3"/>
        <n v="2"/>
        <n v="1"/>
        <s v="-"/>
        <n v="0"/>
        <n v="5"/>
        <n v="4"/>
      </sharedItems>
    </cacheField>
    <cacheField name="PTS" numFmtId="169">
      <sharedItems containsMixedTypes="1" containsNumber="1" containsInteger="1" minValue="10" maxValue="61" count="32">
        <n v="16"/>
        <n v="41"/>
        <n v="40"/>
        <n v="29"/>
        <n v="26"/>
        <n v="27"/>
        <n v="28"/>
        <n v="23"/>
        <n v="30"/>
        <n v="37"/>
        <s v="-"/>
        <n v="33"/>
        <n v="34"/>
        <n v="22"/>
        <n v="38"/>
        <n v="56"/>
        <n v="48"/>
        <n v="20"/>
        <n v="32"/>
        <n v="25"/>
        <n v="36"/>
        <n v="46"/>
        <n v="35"/>
        <n v="19"/>
        <n v="10"/>
        <n v="24"/>
        <n v="17"/>
        <n v="12"/>
        <n v="18"/>
        <n v="31"/>
        <n v="39"/>
        <n v="61"/>
      </sharedItems>
    </cacheField>
    <cacheField name="GmSc" numFmtId="0">
      <sharedItems containsMixedTypes="1" containsNumber="1" minValue="11" maxValue="52.7"/>
    </cacheField>
    <cacheField name="+/-" numFmtId="0">
      <sharedItems containsMixedTypes="1" containsNumber="1" containsInteger="1" minValue="-24" maxValue="39"/>
    </cacheField>
    <cacheField name="TS%" numFmtId="174">
      <sharedItems containsMixedTypes="1" containsNumber="1" minValue="0.46800000000000003" maxValue="0.93300000000000005"/>
    </cacheField>
    <cacheField name="eFG%2" numFmtId="174">
      <sharedItems containsMixedTypes="1" containsNumber="1" minValue="0.28599999999999998" maxValue="0.88500000000000001"/>
    </cacheField>
    <cacheField name="ORB%" numFmtId="174">
      <sharedItems containsMixedTypes="1" containsNumber="1" minValue="0" maxValue="0.255"/>
    </cacheField>
    <cacheField name="DRB%" numFmtId="174">
      <sharedItems containsMixedTypes="1" containsNumber="1" minValue="7.2999999999999995E-2" maxValue="0.54200000000000004" count="60">
        <n v="0.20600000000000002"/>
        <n v="0.154"/>
        <n v="0.38299999999999995"/>
        <n v="0.22899999999999998"/>
        <n v="0.434"/>
        <n v="0.25700000000000001"/>
        <n v="0.28699999999999998"/>
        <n v="0.30099999999999999"/>
        <s v="-"/>
        <n v="0.34299999999999997"/>
        <n v="0.313"/>
        <n v="0.19500000000000001"/>
        <n v="0.2"/>
        <n v="0.307"/>
        <n v="0.21299999999999999"/>
        <n v="0.43099999999999999"/>
        <n v="0.23800000000000002"/>
        <n v="0.27399999999999997"/>
        <n v="0.24399999999999999"/>
        <n v="0.29499999999999998"/>
        <n v="0.16699999999999998"/>
        <n v="0.28000000000000003"/>
        <n v="7.2999999999999995E-2"/>
        <n v="0.28899999999999998"/>
        <n v="0.379"/>
        <n v="0.21899999999999997"/>
        <n v="0.45899999999999996"/>
        <n v="0.44600000000000001"/>
        <n v="0.36700000000000005"/>
        <n v="0.107"/>
        <n v="0.187"/>
        <n v="0.36200000000000004"/>
        <n v="0.41499999999999998"/>
        <n v="0.39200000000000002"/>
        <n v="0.34499999999999997"/>
        <n v="0.28100000000000003"/>
        <n v="0.42100000000000004"/>
        <n v="7.400000000000001E-2"/>
        <n v="0.20499999999999999"/>
        <n v="0.24199999999999999"/>
        <n v="0.32799999999999996"/>
        <n v="0.376"/>
        <n v="0.16800000000000001"/>
        <n v="0.29100000000000004"/>
        <n v="0.20199999999999999"/>
        <n v="0.223"/>
        <n v="0.31900000000000001"/>
        <n v="0.29199999999999998"/>
        <n v="0.34600000000000003"/>
        <n v="0.442"/>
        <n v="0.33500000000000002"/>
        <n v="0.54200000000000004"/>
        <n v="0.41299999999999998"/>
        <n v="0.14899999999999999"/>
        <n v="0.156"/>
        <n v="0.27200000000000002"/>
        <n v="0.152"/>
        <n v="0.26"/>
        <n v="0.318"/>
        <n v="0.18"/>
      </sharedItems>
    </cacheField>
    <cacheField name="TRB%" numFmtId="174">
      <sharedItems containsMixedTypes="1" containsNumber="1" minValue="3.7999999999999999E-2" maxValue="0.32200000000000001"/>
    </cacheField>
    <cacheField name="AST%" numFmtId="174">
      <sharedItems containsMixedTypes="1" containsNumber="1" minValue="9.9000000000000005E-2" maxValue="0.76500000000000001"/>
    </cacheField>
    <cacheField name="STL%" numFmtId="174">
      <sharedItems containsMixedTypes="1" containsNumber="1" minValue="0" maxValue="6.6000000000000003E-2" count="32">
        <n v="2.7000000000000003E-2"/>
        <n v="2.7999999999999997E-2"/>
        <n v="1.1000000000000001E-2"/>
        <n v="0"/>
        <n v="3.7000000000000005E-2"/>
        <n v="1.4999999999999999E-2"/>
        <n v="1.2E-2"/>
        <n v="2.3E-2"/>
        <n v="2.4E-2"/>
        <n v="3.9E-2"/>
        <s v="-"/>
        <n v="2.6000000000000002E-2"/>
        <n v="5.7000000000000002E-2"/>
        <n v="3.4000000000000002E-2"/>
        <n v="3.1E-2"/>
        <n v="1.3000000000000001E-2"/>
        <n v="0.01"/>
        <n v="3.7999999999999999E-2"/>
        <n v="4.9000000000000002E-2"/>
        <n v="2.2000000000000002E-2"/>
        <n v="3.3000000000000002E-2"/>
        <n v="1.6E-2"/>
        <n v="6.6000000000000003E-2"/>
        <n v="0.03"/>
        <n v="5.2999999999999999E-2"/>
        <n v="3.2000000000000001E-2"/>
        <n v="4.5999999999999999E-2"/>
        <n v="1.3999999999999999E-2"/>
        <n v="3.6000000000000004E-2"/>
        <n v="5.9000000000000004E-2"/>
        <n v="0.02"/>
        <n v="5.5E-2"/>
      </sharedItems>
    </cacheField>
    <cacheField name="BLK%" numFmtId="174">
      <sharedItems containsMixedTypes="1" containsNumber="1" minValue="0" maxValue="7.8E-2" count="22">
        <n v="2.1000000000000001E-2"/>
        <n v="2.7000000000000003E-2"/>
        <n v="3.3000000000000002E-2"/>
        <n v="0.03"/>
        <n v="2.8999999999999998E-2"/>
        <n v="0"/>
        <n v="3.9E-2"/>
        <n v="4.0999999999999995E-2"/>
        <s v="-"/>
        <n v="2.5000000000000001E-2"/>
        <n v="2.4E-2"/>
        <n v="1.9E-2"/>
        <n v="1.8000000000000002E-2"/>
        <n v="4.4000000000000004E-2"/>
        <n v="7.8E-2"/>
        <n v="5.2999999999999999E-2"/>
        <n v="3.1E-2"/>
        <n v="4.4999999999999998E-2"/>
        <n v="6.2E-2"/>
        <n v="2.3E-2"/>
        <n v="0.02"/>
        <n v="4.9000000000000002E-2"/>
      </sharedItems>
    </cacheField>
    <cacheField name="TOV%" numFmtId="174">
      <sharedItems containsMixedTypes="1" containsNumber="1" minValue="0" maxValue="0.34499999999999997"/>
    </cacheField>
    <cacheField name="USG%" numFmtId="174">
      <sharedItems containsMixedTypes="1" containsNumber="1" minValue="0" maxValue="0.50700000000000001"/>
    </cacheField>
    <cacheField name="ORtg" numFmtId="169">
      <sharedItems containsMixedTypes="1" containsNumber="1" containsInteger="1" minValue="97" maxValue="176"/>
    </cacheField>
    <cacheField name="DRtg" numFmtId="169">
      <sharedItems containsMixedTypes="1" containsNumber="1" containsInteger="1" minValue="80" maxValue="144" count="42">
        <n v="99"/>
        <n v="114"/>
        <n v="112"/>
        <n v="129"/>
        <n v="115"/>
        <n v="95"/>
        <n v="113"/>
        <n v="105"/>
        <n v="117"/>
        <s v="-"/>
        <n v="121"/>
        <n v="144"/>
        <n v="107"/>
        <n v="120"/>
        <n v="100"/>
        <n v="108"/>
        <n v="118"/>
        <n v="94"/>
        <n v="93"/>
        <n v="128"/>
        <n v="104"/>
        <n v="134"/>
        <n v="123"/>
        <n v="110"/>
        <n v="103"/>
        <n v="102"/>
        <n v="97"/>
        <n v="92"/>
        <n v="82"/>
        <n v="98"/>
        <n v="142"/>
        <n v="119"/>
        <n v="133"/>
        <n v="84"/>
        <n v="106"/>
        <n v="124"/>
        <n v="101"/>
        <n v="109"/>
        <n v="125"/>
        <n v="122"/>
        <n v="80"/>
        <n v="116"/>
      </sharedItems>
    </cacheField>
    <cacheField name="GmSc3" numFmtId="168">
      <sharedItems containsMixedTypes="1" containsNumber="1" minValue="11" maxValue="52.7"/>
    </cacheField>
    <cacheField name="BPM" numFmtId="168">
      <sharedItems containsMixedTypes="1" containsNumber="1" minValue="-3.6" maxValue="2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
  <r>
    <x v="0"/>
    <n v="676"/>
    <n v="1"/>
    <d v="2024-10-24T00:00:00"/>
    <s v="DEN"/>
    <m/>
    <s v="OKC"/>
    <x v="0"/>
    <n v="87"/>
    <n v="102"/>
    <x v="0"/>
    <n v="0"/>
    <n v="1"/>
    <s v="*"/>
    <d v="1899-12-31T11:12:00"/>
    <n v="6"/>
    <n v="13"/>
    <n v="0.46200000000000002"/>
    <n v="1"/>
    <n v="3"/>
    <n v="0.33300000000000002"/>
    <n v="5"/>
    <n v="10"/>
    <n v="0.5"/>
    <n v="0.5"/>
    <n v="3"/>
    <n v="4"/>
    <n v="0.75"/>
    <n v="4"/>
    <x v="0"/>
    <n v="12"/>
    <n v="13"/>
    <x v="0"/>
    <x v="0"/>
    <n v="3"/>
    <x v="0"/>
    <x v="0"/>
    <n v="21.7"/>
    <n v="-9"/>
    <n v="0.54200000000000004"/>
    <n v="0.5"/>
    <n v="0.10300000000000001"/>
    <x v="0"/>
    <n v="0.154"/>
    <n v="0.66099999999999992"/>
    <x v="0"/>
    <x v="0"/>
    <n v="0.16899999999999998"/>
    <n v="0.20199999999999999"/>
    <n v="117"/>
    <x v="0"/>
    <n v="21.7"/>
    <n v="14.3"/>
  </r>
  <r>
    <x v="1"/>
    <n v="677"/>
    <n v="2"/>
    <d v="2024-10-26T00:00:00"/>
    <s v="DEN"/>
    <m/>
    <s v="LAC"/>
    <x v="1"/>
    <n v="104"/>
    <n v="109"/>
    <x v="0"/>
    <n v="0"/>
    <n v="2"/>
    <s v="*"/>
    <d v="1899-12-31T12:46:00"/>
    <n v="14"/>
    <n v="26"/>
    <n v="0.53800000000000003"/>
    <n v="7"/>
    <n v="12"/>
    <n v="0.58299999999999996"/>
    <n v="7"/>
    <n v="14"/>
    <n v="0.5"/>
    <n v="0.67300000000000004"/>
    <n v="6"/>
    <n v="8"/>
    <n v="0.75"/>
    <n v="3"/>
    <x v="1"/>
    <n v="9"/>
    <n v="4"/>
    <x v="0"/>
    <x v="0"/>
    <n v="5"/>
    <x v="1"/>
    <x v="1"/>
    <n v="31.2"/>
    <n v="7"/>
    <n v="0.69399999999999995"/>
    <n v="0.67300000000000004"/>
    <n v="9.0999999999999998E-2"/>
    <x v="0"/>
    <n v="0.14499999999999999"/>
    <n v="0.312"/>
    <x v="1"/>
    <x v="1"/>
    <n v="0.14499999999999999"/>
    <n v="0.41899999999999998"/>
    <n v="122"/>
    <x v="1"/>
    <n v="31.2"/>
    <n v="18.899999999999999"/>
  </r>
  <r>
    <x v="2"/>
    <n v="678"/>
    <n v="3"/>
    <d v="2024-10-28T00:00:00"/>
    <s v="DEN"/>
    <s v="@"/>
    <s v="TOR"/>
    <x v="2"/>
    <n v="127"/>
    <n v="125"/>
    <x v="1"/>
    <n v="1"/>
    <n v="2"/>
    <s v="*"/>
    <d v="1899-12-31T19:41:00"/>
    <n v="18"/>
    <n v="27"/>
    <n v="0.66700000000000004"/>
    <n v="3"/>
    <n v="5"/>
    <n v="0.6"/>
    <n v="15"/>
    <n v="22"/>
    <n v="0.68200000000000005"/>
    <n v="0.72199999999999998"/>
    <n v="1"/>
    <n v="2"/>
    <n v="0.5"/>
    <n v="3"/>
    <x v="2"/>
    <n v="10"/>
    <n v="4"/>
    <x v="1"/>
    <x v="1"/>
    <n v="3"/>
    <x v="1"/>
    <x v="2"/>
    <n v="33.5"/>
    <n v="9"/>
    <n v="0.71699999999999997"/>
    <n v="0.72199999999999998"/>
    <n v="7.0999999999999994E-2"/>
    <x v="1"/>
    <n v="0.114"/>
    <n v="0.193"/>
    <x v="2"/>
    <x v="2"/>
    <n v="9.6999999999999989E-2"/>
    <n v="0.29899999999999999"/>
    <n v="132"/>
    <x v="2"/>
    <n v="33.5"/>
    <n v="12.2"/>
  </r>
  <r>
    <x v="3"/>
    <n v="679"/>
    <n v="4"/>
    <d v="2024-10-29T00:00:00"/>
    <s v="DEN"/>
    <s v="@"/>
    <s v="BRK"/>
    <x v="3"/>
    <n v="144"/>
    <n v="139"/>
    <x v="1"/>
    <n v="2"/>
    <n v="2"/>
    <s v="*"/>
    <d v="1899-12-31T16:31:00"/>
    <n v="9"/>
    <n v="16"/>
    <n v="0.56299999999999994"/>
    <n v="0"/>
    <n v="0"/>
    <s v="-"/>
    <n v="9"/>
    <n v="16"/>
    <n v="0.56299999999999994"/>
    <n v="0.56299999999999994"/>
    <n v="11"/>
    <n v="13"/>
    <n v="0.84599999999999997"/>
    <n v="6"/>
    <x v="3"/>
    <n v="18"/>
    <n v="16"/>
    <x v="2"/>
    <x v="0"/>
    <n v="1"/>
    <x v="0"/>
    <x v="3"/>
    <n v="38.1"/>
    <n v="8"/>
    <n v="0.66800000000000004"/>
    <n v="0.56299999999999994"/>
    <n v="0.183"/>
    <x v="2"/>
    <n v="0.28000000000000003"/>
    <n v="0.61099999999999999"/>
    <x v="3"/>
    <x v="3"/>
    <n v="4.4000000000000004E-2"/>
    <n v="0.25900000000000001"/>
    <n v="162"/>
    <x v="3"/>
    <n v="38.1"/>
    <n v="17"/>
  </r>
  <r>
    <x v="4"/>
    <n v="680"/>
    <n v="5"/>
    <d v="2024-11-01T00:00:00"/>
    <s v="DEN"/>
    <s v="@"/>
    <s v="MIN"/>
    <x v="4"/>
    <n v="116"/>
    <n v="119"/>
    <x v="0"/>
    <n v="2"/>
    <n v="3"/>
    <s v="*"/>
    <d v="1899-12-31T15:42:00"/>
    <n v="8"/>
    <n v="16"/>
    <n v="0.5"/>
    <n v="2"/>
    <n v="3"/>
    <n v="0.66700000000000004"/>
    <n v="6"/>
    <n v="13"/>
    <n v="0.46200000000000002"/>
    <n v="0.56299999999999994"/>
    <n v="8"/>
    <n v="10"/>
    <n v="0.8"/>
    <n v="2"/>
    <x v="2"/>
    <n v="9"/>
    <n v="13"/>
    <x v="3"/>
    <x v="0"/>
    <n v="3"/>
    <x v="2"/>
    <x v="4"/>
    <n v="30.1"/>
    <n v="6"/>
    <n v="0.63700000000000001"/>
    <n v="0.56299999999999994"/>
    <n v="5.0999999999999997E-2"/>
    <x v="3"/>
    <n v="0.13"/>
    <n v="0.502"/>
    <x v="4"/>
    <x v="4"/>
    <n v="0.128"/>
    <n v="0.23600000000000002"/>
    <n v="138"/>
    <x v="4"/>
    <n v="30.1"/>
    <n v="16.5"/>
  </r>
  <r>
    <x v="5"/>
    <n v="681"/>
    <n v="6"/>
    <d v="2024-11-02T00:00:00"/>
    <s v="DEN"/>
    <m/>
    <s v="UTA"/>
    <x v="5"/>
    <n v="129"/>
    <n v="103"/>
    <x v="1"/>
    <n v="3"/>
    <n v="3"/>
    <s v="*"/>
    <d v="1899-12-31T05:42:00"/>
    <n v="10"/>
    <n v="18"/>
    <n v="0.55600000000000005"/>
    <n v="3"/>
    <n v="4"/>
    <n v="0.75"/>
    <n v="7"/>
    <n v="14"/>
    <n v="0.5"/>
    <n v="0.63900000000000001"/>
    <n v="4"/>
    <n v="4"/>
    <n v="1"/>
    <n v="5"/>
    <x v="4"/>
    <n v="16"/>
    <n v="9"/>
    <x v="1"/>
    <x v="2"/>
    <n v="5"/>
    <x v="2"/>
    <x v="5"/>
    <n v="27.1"/>
    <n v="31"/>
    <n v="0.68300000000000005"/>
    <n v="0.63900000000000001"/>
    <n v="0.16200000000000001"/>
    <x v="4"/>
    <n v="0.28399999999999997"/>
    <n v="0.45700000000000002"/>
    <x v="5"/>
    <x v="5"/>
    <n v="0.20199999999999999"/>
    <n v="0.315"/>
    <n v="131"/>
    <x v="5"/>
    <n v="27.1"/>
    <n v="15.2"/>
  </r>
  <r>
    <x v="6"/>
    <n v="682"/>
    <n v="7"/>
    <d v="2024-11-04T00:00:00"/>
    <s v="DEN"/>
    <m/>
    <s v="TOR"/>
    <x v="6"/>
    <n v="121"/>
    <n v="119"/>
    <x v="1"/>
    <n v="4"/>
    <n v="3"/>
    <s v="*"/>
    <d v="1899-12-31T14:12:00"/>
    <n v="10"/>
    <n v="22"/>
    <n v="0.45500000000000002"/>
    <n v="1"/>
    <n v="5"/>
    <n v="0.2"/>
    <n v="9"/>
    <n v="17"/>
    <n v="0.52900000000000003"/>
    <n v="0.47699999999999998"/>
    <n v="7"/>
    <n v="8"/>
    <n v="0.875"/>
    <n v="5"/>
    <x v="5"/>
    <n v="14"/>
    <n v="13"/>
    <x v="1"/>
    <x v="1"/>
    <n v="7"/>
    <x v="1"/>
    <x v="6"/>
    <n v="26.1"/>
    <n v="-1"/>
    <n v="0.54900000000000004"/>
    <n v="0.47699999999999998"/>
    <n v="0.153"/>
    <x v="5"/>
    <n v="0.20699999999999999"/>
    <n v="0.57399999999999995"/>
    <x v="6"/>
    <x v="6"/>
    <n v="0.215"/>
    <n v="0.35"/>
    <n v="114"/>
    <x v="6"/>
    <n v="26.1"/>
    <n v="5.4"/>
  </r>
  <r>
    <x v="7"/>
    <n v="683"/>
    <n v="8"/>
    <d v="2024-11-06T00:00:00"/>
    <s v="DEN"/>
    <m/>
    <s v="OKC"/>
    <x v="7"/>
    <n v="124"/>
    <n v="122"/>
    <x v="1"/>
    <n v="5"/>
    <n v="3"/>
    <s v="*"/>
    <d v="1899-12-31T15:29:00"/>
    <n v="9"/>
    <n v="20"/>
    <n v="0.45"/>
    <n v="1"/>
    <n v="3"/>
    <n v="0.33300000000000002"/>
    <n v="8"/>
    <n v="17"/>
    <n v="0.47099999999999997"/>
    <n v="0.47499999999999998"/>
    <n v="4"/>
    <n v="6"/>
    <n v="0.66700000000000004"/>
    <n v="7"/>
    <x v="6"/>
    <n v="20"/>
    <n v="16"/>
    <x v="0"/>
    <x v="1"/>
    <n v="5"/>
    <x v="1"/>
    <x v="7"/>
    <n v="29.4"/>
    <n v="8"/>
    <n v="0.50800000000000001"/>
    <n v="0.47499999999999998"/>
    <n v="0.18100000000000002"/>
    <x v="6"/>
    <n v="0.23800000000000002"/>
    <n v="0.626"/>
    <x v="7"/>
    <x v="7"/>
    <n v="0.18100000000000002"/>
    <n v="0.27699999999999997"/>
    <n v="121"/>
    <x v="7"/>
    <n v="29.4"/>
    <n v="12.1"/>
  </r>
  <r>
    <x v="8"/>
    <n v="684"/>
    <n v="9"/>
    <d v="2024-11-08T00:00:00"/>
    <s v="DEN"/>
    <m/>
    <s v="MIA"/>
    <x v="8"/>
    <n v="135"/>
    <n v="122"/>
    <x v="1"/>
    <n v="6"/>
    <n v="3"/>
    <s v="*"/>
    <d v="1899-12-31T16:00:00"/>
    <n v="11"/>
    <n v="13"/>
    <n v="0.84599999999999997"/>
    <n v="1"/>
    <n v="1"/>
    <n v="1"/>
    <n v="10"/>
    <n v="12"/>
    <n v="0.83299999999999996"/>
    <n v="0.88500000000000001"/>
    <n v="7"/>
    <n v="7"/>
    <n v="1"/>
    <n v="2"/>
    <x v="5"/>
    <n v="11"/>
    <n v="14"/>
    <x v="0"/>
    <x v="2"/>
    <n v="5"/>
    <x v="1"/>
    <x v="8"/>
    <n v="35.4"/>
    <n v="26"/>
    <n v="0.93300000000000005"/>
    <n v="0.88500000000000001"/>
    <n v="0.08"/>
    <x v="5"/>
    <n v="0.183"/>
    <n v="0.45700000000000002"/>
    <x v="8"/>
    <x v="5"/>
    <n v="0.23699999999999999"/>
    <n v="0.23600000000000002"/>
    <n v="162"/>
    <x v="8"/>
    <n v="35.4"/>
    <n v="14.1"/>
  </r>
  <r>
    <x v="9"/>
    <n v="685"/>
    <n v="10"/>
    <d v="2024-11-10T00:00:00"/>
    <s v="DEN"/>
    <m/>
    <s v="DAL"/>
    <x v="9"/>
    <n v="122"/>
    <n v="120"/>
    <x v="1"/>
    <n v="7"/>
    <n v="3"/>
    <s v="*"/>
    <d v="1899-12-31T14:01:00"/>
    <n v="13"/>
    <n v="21"/>
    <n v="0.61899999999999999"/>
    <n v="3"/>
    <n v="3"/>
    <n v="1"/>
    <n v="10"/>
    <n v="18"/>
    <n v="0.55600000000000005"/>
    <n v="0.69"/>
    <n v="8"/>
    <n v="8"/>
    <n v="1"/>
    <n v="8"/>
    <x v="7"/>
    <n v="18"/>
    <n v="15"/>
    <x v="3"/>
    <x v="2"/>
    <n v="4"/>
    <x v="1"/>
    <x v="9"/>
    <n v="44.8"/>
    <n v="13"/>
    <n v="0.754"/>
    <n v="0.69"/>
    <n v="0.22399999999999998"/>
    <x v="7"/>
    <n v="0.26100000000000001"/>
    <n v="0.66299999999999992"/>
    <x v="9"/>
    <x v="5"/>
    <n v="0.14000000000000001"/>
    <n v="0.32600000000000001"/>
    <n v="154"/>
    <x v="8"/>
    <n v="44.8"/>
    <n v="26.6"/>
  </r>
  <r>
    <x v="9"/>
    <m/>
    <n v="11"/>
    <d v="2024-11-15T00:00:00"/>
    <s v="DEN"/>
    <s v="@"/>
    <s v="NOP"/>
    <x v="10"/>
    <n v="94"/>
    <n v="101"/>
    <x v="0"/>
    <n v="7"/>
    <n v="4"/>
    <s v="Inactive"/>
    <s v="-"/>
    <s v="-"/>
    <s v="-"/>
    <s v="-"/>
    <s v="-"/>
    <s v="-"/>
    <s v="-"/>
    <s v="-"/>
    <s v="-"/>
    <s v="-"/>
    <s v="-"/>
    <s v="-"/>
    <s v="-"/>
    <s v="-"/>
    <s v="-"/>
    <x v="8"/>
    <s v="-"/>
    <s v="-"/>
    <x v="4"/>
    <x v="3"/>
    <s v="-"/>
    <x v="3"/>
    <x v="10"/>
    <s v="-"/>
    <s v="-"/>
    <s v="-"/>
    <s v="-"/>
    <s v="-"/>
    <x v="8"/>
    <s v="-"/>
    <s v="-"/>
    <x v="10"/>
    <x v="8"/>
    <s v="-"/>
    <s v="-"/>
    <s v="-"/>
    <x v="9"/>
    <s v="-"/>
    <s v="-"/>
  </r>
  <r>
    <x v="9"/>
    <m/>
    <n v="12"/>
    <d v="2024-11-17T00:00:00"/>
    <s v="DEN"/>
    <s v="@"/>
    <s v="MEM"/>
    <x v="11"/>
    <n v="90"/>
    <n v="105"/>
    <x v="0"/>
    <n v="7"/>
    <n v="5"/>
    <s v="Inactive"/>
    <s v="-"/>
    <s v="-"/>
    <s v="-"/>
    <s v="-"/>
    <s v="-"/>
    <s v="-"/>
    <s v="-"/>
    <s v="-"/>
    <s v="-"/>
    <s v="-"/>
    <s v="-"/>
    <s v="-"/>
    <s v="-"/>
    <s v="-"/>
    <s v="-"/>
    <x v="8"/>
    <s v="-"/>
    <s v="-"/>
    <x v="4"/>
    <x v="3"/>
    <s v="-"/>
    <x v="3"/>
    <x v="10"/>
    <s v="-"/>
    <s v="-"/>
    <s v="-"/>
    <s v="-"/>
    <s v="-"/>
    <x v="8"/>
    <s v="-"/>
    <s v="-"/>
    <x v="10"/>
    <x v="8"/>
    <s v="-"/>
    <s v="-"/>
    <s v="-"/>
    <x v="9"/>
    <s v="-"/>
    <s v="-"/>
  </r>
  <r>
    <x v="9"/>
    <m/>
    <n v="13"/>
    <d v="2024-11-19T00:00:00"/>
    <s v="DEN"/>
    <s v="@"/>
    <s v="MEM"/>
    <x v="12"/>
    <n v="122"/>
    <n v="110"/>
    <x v="1"/>
    <n v="8"/>
    <n v="5"/>
    <s v="Inactive"/>
    <s v="-"/>
    <s v="-"/>
    <s v="-"/>
    <s v="-"/>
    <s v="-"/>
    <s v="-"/>
    <s v="-"/>
    <s v="-"/>
    <s v="-"/>
    <s v="-"/>
    <s v="-"/>
    <s v="-"/>
    <s v="-"/>
    <s v="-"/>
    <s v="-"/>
    <x v="8"/>
    <s v="-"/>
    <s v="-"/>
    <x v="4"/>
    <x v="3"/>
    <s v="-"/>
    <x v="3"/>
    <x v="10"/>
    <s v="-"/>
    <s v="-"/>
    <s v="-"/>
    <s v="-"/>
    <s v="-"/>
    <x v="8"/>
    <s v="-"/>
    <s v="-"/>
    <x v="10"/>
    <x v="8"/>
    <s v="-"/>
    <s v="-"/>
    <s v="-"/>
    <x v="9"/>
    <s v="-"/>
    <s v="-"/>
  </r>
  <r>
    <x v="10"/>
    <n v="686"/>
    <n v="14"/>
    <d v="2024-11-22T00:00:00"/>
    <s v="DEN"/>
    <m/>
    <s v="DAL"/>
    <x v="13"/>
    <n v="120"/>
    <n v="123"/>
    <x v="0"/>
    <n v="8"/>
    <n v="6"/>
    <s v="*"/>
    <d v="1899-12-31T15:28:00"/>
    <n v="13"/>
    <n v="22"/>
    <n v="0.59099999999999997"/>
    <n v="2"/>
    <n v="2"/>
    <n v="1"/>
    <n v="11"/>
    <n v="20"/>
    <n v="0.55000000000000004"/>
    <n v="0.63600000000000001"/>
    <n v="5"/>
    <n v="7"/>
    <n v="0.71399999999999997"/>
    <n v="6"/>
    <x v="4"/>
    <n v="17"/>
    <n v="10"/>
    <x v="2"/>
    <x v="2"/>
    <n v="3"/>
    <x v="4"/>
    <x v="11"/>
    <n v="33.5"/>
    <n v="4"/>
    <n v="0.65800000000000003"/>
    <n v="0.63600000000000001"/>
    <n v="0.155"/>
    <x v="9"/>
    <n v="0.24"/>
    <n v="0.44700000000000001"/>
    <x v="3"/>
    <x v="5"/>
    <n v="0.107"/>
    <n v="0.28999999999999998"/>
    <n v="139"/>
    <x v="10"/>
    <n v="33.5"/>
    <n v="12.2"/>
  </r>
  <r>
    <x v="11"/>
    <n v="687"/>
    <n v="15"/>
    <d v="2024-11-23T00:00:00"/>
    <s v="DEN"/>
    <s v="@"/>
    <s v="LAL"/>
    <x v="14"/>
    <n v="127"/>
    <n v="102"/>
    <x v="1"/>
    <n v="9"/>
    <n v="6"/>
    <s v="*"/>
    <d v="1899-12-31T12:37:00"/>
    <n v="12"/>
    <n v="20"/>
    <n v="0.6"/>
    <n v="3"/>
    <n v="7"/>
    <n v="0.42899999999999999"/>
    <n v="9"/>
    <n v="13"/>
    <n v="0.69199999999999995"/>
    <n v="0.67500000000000004"/>
    <n v="7"/>
    <n v="8"/>
    <n v="0.875"/>
    <n v="2"/>
    <x v="4"/>
    <n v="13"/>
    <n v="8"/>
    <x v="0"/>
    <x v="0"/>
    <n v="6"/>
    <x v="0"/>
    <x v="12"/>
    <n v="30.2"/>
    <n v="39"/>
    <n v="0.72299999999999998"/>
    <n v="0.67500000000000004"/>
    <n v="7.6999999999999999E-2"/>
    <x v="10"/>
    <n v="0.21299999999999999"/>
    <n v="0.30599999999999999"/>
    <x v="11"/>
    <x v="9"/>
    <n v="0.20300000000000001"/>
    <n v="0.35700000000000004"/>
    <n v="126"/>
    <x v="5"/>
    <n v="30.2"/>
    <n v="9.9"/>
  </r>
  <r>
    <x v="12"/>
    <n v="688"/>
    <n v="16"/>
    <d v="2024-11-25T00:00:00"/>
    <s v="DEN"/>
    <m/>
    <s v="NYK"/>
    <x v="15"/>
    <n v="118"/>
    <n v="145"/>
    <x v="0"/>
    <n v="9"/>
    <n v="7"/>
    <s v="*"/>
    <d v="1899-12-31T07:50:00"/>
    <n v="9"/>
    <n v="20"/>
    <n v="0.45"/>
    <n v="2"/>
    <n v="7"/>
    <n v="0.28599999999999998"/>
    <n v="7"/>
    <n v="13"/>
    <n v="0.53800000000000003"/>
    <n v="0.5"/>
    <n v="2"/>
    <n v="2"/>
    <n v="1"/>
    <n v="3"/>
    <x v="9"/>
    <n v="7"/>
    <n v="7"/>
    <x v="1"/>
    <x v="2"/>
    <n v="0"/>
    <x v="2"/>
    <x v="13"/>
    <n v="20.399999999999999"/>
    <n v="-20"/>
    <n v="0.52700000000000002"/>
    <n v="0.5"/>
    <n v="0.10099999999999999"/>
    <x v="11"/>
    <n v="0.13900000000000001"/>
    <n v="0.38500000000000001"/>
    <x v="5"/>
    <x v="5"/>
    <n v="0"/>
    <n v="0.27399999999999997"/>
    <n v="127"/>
    <x v="11"/>
    <n v="20.399999999999999"/>
    <n v="7.2"/>
  </r>
  <r>
    <x v="13"/>
    <n v="689"/>
    <n v="17"/>
    <d v="2024-11-27T00:00:00"/>
    <s v="DEN"/>
    <s v="@"/>
    <s v="UTA"/>
    <x v="16"/>
    <n v="122"/>
    <n v="103"/>
    <x v="1"/>
    <n v="10"/>
    <n v="7"/>
    <s v="*"/>
    <d v="1899-12-31T09:37:00"/>
    <n v="13"/>
    <n v="19"/>
    <n v="0.68400000000000005"/>
    <n v="2"/>
    <n v="3"/>
    <n v="0.66700000000000004"/>
    <n v="11"/>
    <n v="16"/>
    <n v="0.68799999999999994"/>
    <n v="0.73699999999999999"/>
    <n v="2"/>
    <n v="3"/>
    <n v="0.66700000000000004"/>
    <n v="3"/>
    <x v="2"/>
    <n v="10"/>
    <n v="7"/>
    <x v="1"/>
    <x v="0"/>
    <n v="1"/>
    <x v="2"/>
    <x v="8"/>
    <n v="30.9"/>
    <n v="20"/>
    <n v="0.73799999999999999"/>
    <n v="0.73699999999999999"/>
    <n v="0.11900000000000001"/>
    <x v="12"/>
    <n v="0.16600000000000001"/>
    <n v="0.36399999999999999"/>
    <x v="5"/>
    <x v="3"/>
    <n v="4.7E-2"/>
    <n v="0.28999999999999998"/>
    <n v="154"/>
    <x v="12"/>
    <n v="30.9"/>
    <n v="15.3"/>
  </r>
  <r>
    <x v="14"/>
    <n v="690"/>
    <n v="18"/>
    <d v="2024-12-01T00:00:00"/>
    <s v="DEN"/>
    <s v="@"/>
    <s v="LAC"/>
    <x v="17"/>
    <n v="122"/>
    <n v="126"/>
    <x v="0"/>
    <n v="10"/>
    <n v="8"/>
    <s v="*"/>
    <d v="1899-12-31T15:04:00"/>
    <n v="12"/>
    <n v="24"/>
    <n v="0.5"/>
    <n v="2"/>
    <n v="7"/>
    <n v="0.28599999999999998"/>
    <n v="10"/>
    <n v="17"/>
    <n v="0.58799999999999997"/>
    <n v="0.54200000000000004"/>
    <n v="2"/>
    <n v="4"/>
    <n v="0.5"/>
    <n v="3"/>
    <x v="4"/>
    <n v="14"/>
    <n v="11"/>
    <x v="1"/>
    <x v="0"/>
    <n v="5"/>
    <x v="0"/>
    <x v="6"/>
    <n v="23.8"/>
    <n v="-7"/>
    <n v="0.54300000000000004"/>
    <n v="0.54200000000000004"/>
    <n v="0.1"/>
    <x v="13"/>
    <n v="0.21199999999999999"/>
    <n v="0.373"/>
    <x v="6"/>
    <x v="10"/>
    <n v="0.16300000000000001"/>
    <n v="0.34200000000000003"/>
    <n v="109"/>
    <x v="13"/>
    <n v="23.8"/>
    <n v="3.7"/>
  </r>
  <r>
    <x v="15"/>
    <n v="691"/>
    <n v="19"/>
    <d v="2024-12-03T00:00:00"/>
    <s v="DEN"/>
    <m/>
    <s v="GSW"/>
    <x v="18"/>
    <n v="119"/>
    <n v="115"/>
    <x v="1"/>
    <n v="11"/>
    <n v="8"/>
    <s v="*"/>
    <d v="1899-12-31T16:02:00"/>
    <n v="14"/>
    <n v="24"/>
    <n v="0.58299999999999996"/>
    <n v="3"/>
    <n v="4"/>
    <n v="0.75"/>
    <n v="11"/>
    <n v="20"/>
    <n v="0.55000000000000004"/>
    <n v="0.64600000000000002"/>
    <n v="7"/>
    <n v="9"/>
    <n v="0.77800000000000002"/>
    <n v="2"/>
    <x v="0"/>
    <n v="10"/>
    <n v="6"/>
    <x v="5"/>
    <x v="0"/>
    <n v="4"/>
    <x v="2"/>
    <x v="14"/>
    <n v="35.299999999999997"/>
    <n v="23"/>
    <n v="0.68"/>
    <n v="0.64600000000000002"/>
    <n v="5.7999999999999996E-2"/>
    <x v="14"/>
    <n v="0.13900000000000001"/>
    <n v="0.31"/>
    <x v="12"/>
    <x v="0"/>
    <n v="0.125"/>
    <n v="0.35"/>
    <n v="120"/>
    <x v="14"/>
    <n v="35.299999999999997"/>
    <n v="14.2"/>
  </r>
  <r>
    <x v="16"/>
    <n v="692"/>
    <n v="20"/>
    <d v="2024-12-05T00:00:00"/>
    <s v="DEN"/>
    <s v="@"/>
    <s v="CLE"/>
    <x v="19"/>
    <n v="114"/>
    <n v="126"/>
    <x v="0"/>
    <n v="11"/>
    <n v="9"/>
    <s v="*"/>
    <d v="1899-12-31T14:40:00"/>
    <n v="13"/>
    <n v="26"/>
    <n v="0.5"/>
    <n v="0"/>
    <n v="3"/>
    <n v="0"/>
    <n v="13"/>
    <n v="23"/>
    <n v="0.56499999999999995"/>
    <n v="0.5"/>
    <n v="1"/>
    <n v="1"/>
    <n v="1"/>
    <n v="3"/>
    <x v="10"/>
    <n v="20"/>
    <n v="11"/>
    <x v="3"/>
    <x v="2"/>
    <n v="3"/>
    <x v="0"/>
    <x v="5"/>
    <n v="27.7"/>
    <n v="-8"/>
    <n v="0.51100000000000001"/>
    <n v="0.5"/>
    <n v="7.9000000000000001E-2"/>
    <x v="15"/>
    <n v="0.25900000000000001"/>
    <n v="0.45700000000000002"/>
    <x v="13"/>
    <x v="5"/>
    <n v="0.10199999999999999"/>
    <n v="0.3"/>
    <n v="109"/>
    <x v="15"/>
    <n v="27.7"/>
    <n v="10.3"/>
  </r>
  <r>
    <x v="17"/>
    <n v="693"/>
    <n v="21"/>
    <d v="2024-12-07T00:00:00"/>
    <s v="DEN"/>
    <s v="@"/>
    <s v="WAS"/>
    <x v="20"/>
    <n v="113"/>
    <n v="122"/>
    <x v="0"/>
    <n v="11"/>
    <n v="10"/>
    <s v="*"/>
    <d v="1899-12-31T14:39:00"/>
    <n v="22"/>
    <n v="39"/>
    <n v="0.56399999999999995"/>
    <n v="3"/>
    <n v="6"/>
    <n v="0.5"/>
    <n v="19"/>
    <n v="33"/>
    <n v="0.57599999999999996"/>
    <n v="0.60299999999999998"/>
    <n v="9"/>
    <n v="13"/>
    <n v="0.69199999999999995"/>
    <n v="7"/>
    <x v="5"/>
    <n v="16"/>
    <n v="8"/>
    <x v="1"/>
    <x v="2"/>
    <n v="5"/>
    <x v="5"/>
    <x v="15"/>
    <n v="43.1"/>
    <n v="-1"/>
    <n v="0.626"/>
    <n v="0.60299999999999998"/>
    <n v="0.185"/>
    <x v="16"/>
    <n v="0.21100000000000002"/>
    <n v="0.53200000000000003"/>
    <x v="6"/>
    <x v="5"/>
    <n v="0.10099999999999999"/>
    <n v="0.50700000000000001"/>
    <n v="124"/>
    <x v="16"/>
    <n v="43.1"/>
    <n v="16.899999999999999"/>
  </r>
  <r>
    <x v="18"/>
    <n v="694"/>
    <n v="22"/>
    <d v="2024-12-08T00:00:00"/>
    <s v="DEN"/>
    <s v="@"/>
    <s v="ATL"/>
    <x v="21"/>
    <n v="141"/>
    <n v="111"/>
    <x v="1"/>
    <n v="12"/>
    <n v="10"/>
    <s v="*"/>
    <d v="1899-12-31T11:03:00"/>
    <n v="17"/>
    <n v="29"/>
    <n v="0.58599999999999997"/>
    <n v="3"/>
    <n v="6"/>
    <n v="0.5"/>
    <n v="14"/>
    <n v="23"/>
    <n v="0.60899999999999999"/>
    <n v="0.63800000000000001"/>
    <n v="11"/>
    <n v="13"/>
    <n v="0.84599999999999997"/>
    <n v="3"/>
    <x v="4"/>
    <n v="14"/>
    <n v="8"/>
    <x v="3"/>
    <x v="2"/>
    <n v="3"/>
    <x v="1"/>
    <x v="16"/>
    <n v="43.9"/>
    <n v="25"/>
    <n v="0.69099999999999995"/>
    <n v="0.63800000000000001"/>
    <n v="0.124"/>
    <x v="17"/>
    <n v="0.218"/>
    <n v="0.33500000000000002"/>
    <x v="9"/>
    <x v="5"/>
    <n v="0.08"/>
    <n v="0.43200000000000005"/>
    <n v="137"/>
    <x v="17"/>
    <n v="43.9"/>
    <n v="15.7"/>
  </r>
  <r>
    <x v="19"/>
    <n v="695"/>
    <n v="23"/>
    <d v="2024-12-13T00:00:00"/>
    <s v="DEN"/>
    <m/>
    <s v="LAC"/>
    <x v="22"/>
    <n v="120"/>
    <n v="98"/>
    <x v="1"/>
    <n v="13"/>
    <n v="10"/>
    <s v="*"/>
    <d v="1899-12-31T05:57:00"/>
    <n v="6"/>
    <n v="9"/>
    <n v="0.66700000000000004"/>
    <n v="2"/>
    <n v="2"/>
    <n v="1"/>
    <n v="4"/>
    <n v="7"/>
    <n v="0.57099999999999995"/>
    <n v="0.77800000000000002"/>
    <n v="2"/>
    <n v="4"/>
    <n v="0.5"/>
    <n v="0"/>
    <x v="2"/>
    <n v="7"/>
    <n v="2"/>
    <x v="0"/>
    <x v="2"/>
    <n v="5"/>
    <x v="1"/>
    <x v="0"/>
    <n v="11"/>
    <n v="14"/>
    <n v="0.74299999999999999"/>
    <n v="0.77800000000000002"/>
    <n v="0"/>
    <x v="18"/>
    <n v="0.14599999999999999"/>
    <n v="9.9000000000000005E-2"/>
    <x v="14"/>
    <x v="5"/>
    <n v="0.317"/>
    <n v="0.223"/>
    <n v="97"/>
    <x v="18"/>
    <n v="11"/>
    <n v="0.4"/>
  </r>
  <r>
    <x v="20"/>
    <n v="696"/>
    <n v="24"/>
    <d v="2024-12-16T00:00:00"/>
    <s v="DEN"/>
    <s v="@"/>
    <s v="SAC"/>
    <x v="23"/>
    <n v="130"/>
    <n v="129"/>
    <x v="1"/>
    <n v="14"/>
    <n v="10"/>
    <s v="*"/>
    <d v="1899-12-31T14:18:00"/>
    <n v="8"/>
    <n v="19"/>
    <n v="0.42099999999999999"/>
    <n v="1"/>
    <n v="6"/>
    <n v="0.16700000000000001"/>
    <n v="7"/>
    <n v="13"/>
    <n v="0.53800000000000003"/>
    <n v="0.44700000000000001"/>
    <n v="3"/>
    <n v="4"/>
    <n v="0.75"/>
    <n v="2"/>
    <x v="3"/>
    <n v="14"/>
    <n v="13"/>
    <x v="0"/>
    <x v="0"/>
    <n v="5"/>
    <x v="4"/>
    <x v="17"/>
    <n v="21.3"/>
    <n v="4"/>
    <n v="0.48199999999999998"/>
    <n v="0.44700000000000001"/>
    <n v="5.4000000000000006E-2"/>
    <x v="19"/>
    <n v="0.18100000000000002"/>
    <n v="0.39799999999999996"/>
    <x v="7"/>
    <x v="11"/>
    <n v="0.19399999999999998"/>
    <n v="0.253"/>
    <n v="105"/>
    <x v="6"/>
    <n v="21.3"/>
    <n v="4.5"/>
  </r>
  <r>
    <x v="21"/>
    <n v="697"/>
    <n v="25"/>
    <d v="2024-12-19T00:00:00"/>
    <s v="DEN"/>
    <s v="@"/>
    <s v="POR"/>
    <x v="24"/>
    <n v="124"/>
    <n v="126"/>
    <x v="0"/>
    <n v="14"/>
    <n v="11"/>
    <s v="*"/>
    <d v="1899-12-31T12:37:00"/>
    <n v="13"/>
    <n v="18"/>
    <n v="0.72199999999999998"/>
    <n v="4"/>
    <n v="6"/>
    <n v="0.66700000000000004"/>
    <n v="9"/>
    <n v="12"/>
    <n v="0.75"/>
    <n v="0.83299999999999996"/>
    <n v="4"/>
    <n v="4"/>
    <n v="1"/>
    <n v="0"/>
    <x v="1"/>
    <n v="6"/>
    <n v="8"/>
    <x v="1"/>
    <x v="2"/>
    <n v="3"/>
    <x v="6"/>
    <x v="12"/>
    <n v="30.4"/>
    <n v="-5"/>
    <n v="0.86"/>
    <n v="0.83299999999999996"/>
    <n v="0"/>
    <x v="20"/>
    <n v="9.3000000000000013E-2"/>
    <n v="0.35"/>
    <x v="15"/>
    <x v="5"/>
    <n v="0.13200000000000001"/>
    <n v="0.27800000000000002"/>
    <n v="150"/>
    <x v="19"/>
    <n v="30.4"/>
    <n v="12.8"/>
  </r>
  <r>
    <x v="22"/>
    <n v="698"/>
    <n v="26"/>
    <d v="2024-12-22T00:00:00"/>
    <s v="DEN"/>
    <s v="@"/>
    <s v="NOP"/>
    <x v="25"/>
    <n v="132"/>
    <n v="129"/>
    <x v="1"/>
    <n v="15"/>
    <n v="11"/>
    <s v="*"/>
    <d v="1899-12-31T18:34:00"/>
    <n v="11"/>
    <n v="20"/>
    <n v="0.55000000000000004"/>
    <n v="2"/>
    <n v="3"/>
    <n v="0.66700000000000004"/>
    <n v="9"/>
    <n v="17"/>
    <n v="0.52900000000000003"/>
    <n v="0.6"/>
    <n v="3"/>
    <n v="5"/>
    <n v="0.6"/>
    <n v="2"/>
    <x v="4"/>
    <n v="13"/>
    <n v="10"/>
    <x v="1"/>
    <x v="0"/>
    <n v="3"/>
    <x v="5"/>
    <x v="5"/>
    <n v="25"/>
    <n v="6"/>
    <n v="0.60799999999999998"/>
    <n v="0.6"/>
    <n v="5.2000000000000005E-2"/>
    <x v="21"/>
    <n v="0.16699999999999998"/>
    <n v="0.35299999999999998"/>
    <x v="16"/>
    <x v="12"/>
    <n v="0.11900000000000001"/>
    <n v="0.23600000000000002"/>
    <n v="124"/>
    <x v="15"/>
    <n v="25"/>
    <n v="4.9000000000000004"/>
  </r>
  <r>
    <x v="23"/>
    <n v="699"/>
    <n v="27"/>
    <d v="2024-12-23T00:00:00"/>
    <s v="DEN"/>
    <m/>
    <s v="PHO"/>
    <x v="26"/>
    <n v="117"/>
    <n v="90"/>
    <x v="1"/>
    <n v="16"/>
    <n v="11"/>
    <s v="*"/>
    <d v="1899-12-31T05:45:00"/>
    <n v="12"/>
    <n v="17"/>
    <n v="0.70599999999999996"/>
    <n v="4"/>
    <n v="6"/>
    <n v="0.66700000000000004"/>
    <n v="8"/>
    <n v="11"/>
    <n v="0.72699999999999998"/>
    <n v="0.82399999999999995"/>
    <n v="4"/>
    <n v="5"/>
    <n v="0.8"/>
    <n v="0"/>
    <x v="11"/>
    <n v="2"/>
    <n v="7"/>
    <x v="2"/>
    <x v="2"/>
    <n v="1"/>
    <x v="2"/>
    <x v="18"/>
    <n v="28.6"/>
    <n v="19"/>
    <n v="0.83299999999999996"/>
    <n v="0.82399999999999995"/>
    <n v="0"/>
    <x v="22"/>
    <n v="3.7999999999999999E-2"/>
    <n v="0.42399999999999999"/>
    <x v="3"/>
    <x v="5"/>
    <n v="0.05"/>
    <n v="0.30499999999999999"/>
    <n v="162"/>
    <x v="20"/>
    <n v="28.6"/>
    <n v="21.6"/>
  </r>
  <r>
    <x v="24"/>
    <n v="700"/>
    <n v="28"/>
    <d v="2024-12-25T00:00:00"/>
    <s v="DEN"/>
    <s v="@"/>
    <s v="PHO"/>
    <x v="27"/>
    <n v="100"/>
    <n v="110"/>
    <x v="0"/>
    <n v="16"/>
    <n v="12"/>
    <s v="*"/>
    <d v="1899-12-31T13:48:00"/>
    <n v="10"/>
    <n v="19"/>
    <n v="0.52600000000000002"/>
    <n v="2"/>
    <n v="7"/>
    <n v="0.28599999999999998"/>
    <n v="8"/>
    <n v="12"/>
    <n v="0.66700000000000004"/>
    <n v="0.57899999999999996"/>
    <n v="3"/>
    <n v="4"/>
    <n v="0.75"/>
    <n v="5"/>
    <x v="7"/>
    <n v="15"/>
    <n v="2"/>
    <x v="0"/>
    <x v="2"/>
    <n v="2"/>
    <x v="2"/>
    <x v="19"/>
    <n v="22.8"/>
    <n v="-3"/>
    <n v="0.60199999999999998"/>
    <n v="0.57899999999999996"/>
    <n v="0.14400000000000002"/>
    <x v="23"/>
    <n v="0.21600000000000003"/>
    <n v="0.109"/>
    <x v="1"/>
    <x v="5"/>
    <n v="8.8000000000000009E-2"/>
    <n v="0.27200000000000002"/>
    <n v="124"/>
    <x v="2"/>
    <n v="22.8"/>
    <n v="8.9"/>
  </r>
  <r>
    <x v="25"/>
    <n v="701"/>
    <n v="29"/>
    <d v="2024-12-27T00:00:00"/>
    <s v="DEN"/>
    <m/>
    <s v="CLE"/>
    <x v="28"/>
    <n v="135"/>
    <n v="149"/>
    <x v="0"/>
    <n v="16"/>
    <n v="13"/>
    <s v="*"/>
    <d v="1899-12-31T11:45:00"/>
    <n v="12"/>
    <n v="19"/>
    <n v="0.63200000000000001"/>
    <n v="0"/>
    <n v="3"/>
    <n v="0"/>
    <n v="12"/>
    <n v="16"/>
    <n v="0.75"/>
    <n v="0.63200000000000001"/>
    <n v="3"/>
    <n v="4"/>
    <n v="0.75"/>
    <n v="3"/>
    <x v="4"/>
    <n v="14"/>
    <n v="13"/>
    <x v="3"/>
    <x v="2"/>
    <n v="1"/>
    <x v="2"/>
    <x v="5"/>
    <n v="34.200000000000003"/>
    <n v="-15"/>
    <n v="0.65"/>
    <n v="0.63200000000000001"/>
    <n v="0.109"/>
    <x v="24"/>
    <n v="0.247"/>
    <n v="0.47299999999999998"/>
    <x v="17"/>
    <x v="5"/>
    <n v="4.5999999999999999E-2"/>
    <n v="0.254"/>
    <n v="150"/>
    <x v="21"/>
    <n v="34.200000000000003"/>
    <n v="14.7"/>
  </r>
  <r>
    <x v="26"/>
    <n v="702"/>
    <n v="30"/>
    <d v="2024-12-28T00:00:00"/>
    <s v="DEN"/>
    <m/>
    <s v="DET"/>
    <x v="29"/>
    <n v="134"/>
    <n v="121"/>
    <x v="1"/>
    <n v="17"/>
    <n v="13"/>
    <s v="*"/>
    <d v="1899-12-31T13:14:00"/>
    <n v="11"/>
    <n v="17"/>
    <n v="0.64700000000000002"/>
    <n v="4"/>
    <n v="5"/>
    <n v="0.8"/>
    <n v="7"/>
    <n v="12"/>
    <n v="0.58299999999999996"/>
    <n v="0.76500000000000001"/>
    <n v="11"/>
    <n v="14"/>
    <n v="0.78600000000000003"/>
    <n v="1"/>
    <x v="0"/>
    <n v="9"/>
    <n v="8"/>
    <x v="2"/>
    <x v="2"/>
    <n v="2"/>
    <x v="6"/>
    <x v="9"/>
    <n v="33.4"/>
    <n v="25"/>
    <n v="0.79900000000000004"/>
    <n v="0.76500000000000001"/>
    <n v="3.7999999999999999E-2"/>
    <x v="25"/>
    <n v="0.14300000000000002"/>
    <n v="0.32400000000000001"/>
    <x v="3"/>
    <x v="5"/>
    <n v="7.9000000000000001E-2"/>
    <n v="0.28999999999999998"/>
    <n v="158"/>
    <x v="22"/>
    <n v="33.4"/>
    <n v="12.1"/>
  </r>
  <r>
    <x v="27"/>
    <n v="703"/>
    <n v="31"/>
    <d v="2024-12-30T00:00:00"/>
    <s v="DEN"/>
    <s v="@"/>
    <s v="UTA"/>
    <x v="30"/>
    <n v="132"/>
    <n v="121"/>
    <x v="1"/>
    <n v="18"/>
    <n v="13"/>
    <s v="*"/>
    <d v="1899-12-31T14:18:00"/>
    <n v="14"/>
    <n v="33"/>
    <n v="0.42399999999999999"/>
    <n v="3"/>
    <n v="9"/>
    <n v="0.33300000000000002"/>
    <n v="11"/>
    <n v="24"/>
    <n v="0.45800000000000002"/>
    <n v="0.47"/>
    <n v="5"/>
    <n v="6"/>
    <n v="0.83299999999999996"/>
    <n v="7"/>
    <x v="12"/>
    <n v="22"/>
    <n v="11"/>
    <x v="6"/>
    <x v="2"/>
    <n v="2"/>
    <x v="4"/>
    <x v="20"/>
    <n v="37.200000000000003"/>
    <n v="20"/>
    <n v="0.505"/>
    <n v="0.47"/>
    <n v="0.187"/>
    <x v="26"/>
    <n v="0.313"/>
    <n v="0.38900000000000001"/>
    <x v="18"/>
    <x v="5"/>
    <n v="5.2999999999999999E-2"/>
    <n v="0.39200000000000002"/>
    <n v="125"/>
    <x v="23"/>
    <n v="37.200000000000003"/>
    <n v="13.6"/>
  </r>
  <r>
    <x v="28"/>
    <n v="704"/>
    <n v="32"/>
    <d v="2025-01-01T00:00:00"/>
    <s v="DEN"/>
    <m/>
    <s v="ATL"/>
    <x v="31"/>
    <n v="139"/>
    <n v="120"/>
    <x v="1"/>
    <n v="19"/>
    <n v="13"/>
    <s v="*"/>
    <d v="1899-12-31T05:31:00"/>
    <n v="8"/>
    <n v="16"/>
    <n v="0.5"/>
    <n v="1"/>
    <n v="1"/>
    <n v="1"/>
    <n v="7"/>
    <n v="15"/>
    <n v="0.46700000000000003"/>
    <n v="0.53100000000000003"/>
    <n v="6"/>
    <n v="6"/>
    <n v="1"/>
    <n v="3"/>
    <x v="13"/>
    <n v="17"/>
    <n v="15"/>
    <x v="2"/>
    <x v="0"/>
    <n v="2"/>
    <x v="1"/>
    <x v="7"/>
    <n v="29.7"/>
    <n v="31"/>
    <n v="0.61699999999999999"/>
    <n v="0.53100000000000003"/>
    <n v="0.13600000000000001"/>
    <x v="27"/>
    <n v="0.318"/>
    <n v="0.61"/>
    <x v="3"/>
    <x v="3"/>
    <n v="9.6999999999999989E-2"/>
    <n v="0.28899999999999998"/>
    <n v="139"/>
    <x v="20"/>
    <n v="29.7"/>
    <n v="15.1"/>
  </r>
  <r>
    <x v="29"/>
    <n v="705"/>
    <n v="33"/>
    <d v="2025-01-03T00:00:00"/>
    <s v="DEN"/>
    <m/>
    <s v="SAS"/>
    <x v="32"/>
    <n v="110"/>
    <n v="113"/>
    <x v="0"/>
    <n v="19"/>
    <n v="14"/>
    <s v="*"/>
    <d v="1899-12-31T12:39:00"/>
    <n v="15"/>
    <n v="36"/>
    <n v="0.41699999999999998"/>
    <n v="3"/>
    <n v="10"/>
    <n v="0.3"/>
    <n v="12"/>
    <n v="26"/>
    <n v="0.46200000000000002"/>
    <n v="0.45800000000000002"/>
    <n v="8"/>
    <n v="9"/>
    <n v="0.88900000000000001"/>
    <n v="4"/>
    <x v="13"/>
    <n v="18"/>
    <n v="9"/>
    <x v="0"/>
    <x v="2"/>
    <n v="2"/>
    <x v="0"/>
    <x v="1"/>
    <n v="33.5"/>
    <n v="7"/>
    <n v="0.51300000000000001"/>
    <n v="0.45800000000000002"/>
    <n v="0.10099999999999999"/>
    <x v="28"/>
    <n v="0.23100000000000001"/>
    <n v="0.52700000000000002"/>
    <x v="11"/>
    <x v="5"/>
    <n v="4.8000000000000001E-2"/>
    <n v="0.49"/>
    <n v="112"/>
    <x v="24"/>
    <n v="33.5"/>
    <n v="14.1"/>
  </r>
  <r>
    <x v="30"/>
    <n v="706"/>
    <n v="34"/>
    <d v="2025-01-04T00:00:00"/>
    <s v="DEN"/>
    <s v="@"/>
    <s v="SAS"/>
    <x v="33"/>
    <n v="122"/>
    <n v="111"/>
    <x v="1"/>
    <n v="20"/>
    <n v="14"/>
    <s v="*"/>
    <d v="1899-12-31T19:19:00"/>
    <n v="19"/>
    <n v="35"/>
    <n v="0.54300000000000004"/>
    <n v="3"/>
    <n v="8"/>
    <n v="0.375"/>
    <n v="16"/>
    <n v="27"/>
    <n v="0.59299999999999997"/>
    <n v="0.58599999999999997"/>
    <n v="5"/>
    <n v="6"/>
    <n v="0.83299999999999996"/>
    <n v="4"/>
    <x v="14"/>
    <n v="9"/>
    <n v="10"/>
    <x v="0"/>
    <x v="1"/>
    <n v="2"/>
    <x v="0"/>
    <x v="21"/>
    <n v="40.200000000000003"/>
    <n v="7"/>
    <n v="0.61099999999999999"/>
    <n v="0.58599999999999997"/>
    <n v="8.3000000000000004E-2"/>
    <x v="29"/>
    <n v="9.5000000000000001E-2"/>
    <n v="0.51500000000000001"/>
    <x v="19"/>
    <x v="13"/>
    <n v="0.05"/>
    <n v="0.38799999999999996"/>
    <n v="127"/>
    <x v="25"/>
    <n v="40.200000000000003"/>
    <n v="20.100000000000001"/>
  </r>
  <r>
    <x v="30"/>
    <m/>
    <n v="35"/>
    <d v="2025-01-07T00:00:00"/>
    <s v="DEN"/>
    <m/>
    <s v="BOS"/>
    <x v="34"/>
    <n v="106"/>
    <n v="118"/>
    <x v="0"/>
    <n v="20"/>
    <n v="15"/>
    <s v="Inactive"/>
    <s v="-"/>
    <s v="-"/>
    <s v="-"/>
    <s v="-"/>
    <s v="-"/>
    <s v="-"/>
    <s v="-"/>
    <s v="-"/>
    <s v="-"/>
    <s v="-"/>
    <s v="-"/>
    <s v="-"/>
    <s v="-"/>
    <s v="-"/>
    <s v="-"/>
    <x v="8"/>
    <s v="-"/>
    <s v="-"/>
    <x v="4"/>
    <x v="3"/>
    <s v="-"/>
    <x v="3"/>
    <x v="10"/>
    <s v="-"/>
    <s v="-"/>
    <s v="-"/>
    <s v="-"/>
    <s v="-"/>
    <x v="8"/>
    <s v="-"/>
    <s v="-"/>
    <x v="10"/>
    <x v="8"/>
    <s v="-"/>
    <s v="-"/>
    <s v="-"/>
    <x v="9"/>
    <s v="-"/>
    <s v="-"/>
  </r>
  <r>
    <x v="30"/>
    <m/>
    <n v="36"/>
    <d v="2025-01-08T00:00:00"/>
    <s v="DEN"/>
    <m/>
    <s v="LAC"/>
    <x v="35"/>
    <n v="126"/>
    <n v="103"/>
    <x v="1"/>
    <n v="21"/>
    <n v="15"/>
    <s v="Inactive"/>
    <s v="-"/>
    <s v="-"/>
    <s v="-"/>
    <s v="-"/>
    <s v="-"/>
    <s v="-"/>
    <s v="-"/>
    <s v="-"/>
    <s v="-"/>
    <s v="-"/>
    <s v="-"/>
    <s v="-"/>
    <s v="-"/>
    <s v="-"/>
    <s v="-"/>
    <x v="8"/>
    <s v="-"/>
    <s v="-"/>
    <x v="4"/>
    <x v="3"/>
    <s v="-"/>
    <x v="3"/>
    <x v="10"/>
    <s v="-"/>
    <s v="-"/>
    <s v="-"/>
    <s v="-"/>
    <s v="-"/>
    <x v="8"/>
    <s v="-"/>
    <s v="-"/>
    <x v="10"/>
    <x v="8"/>
    <s v="-"/>
    <s v="-"/>
    <s v="-"/>
    <x v="9"/>
    <s v="-"/>
    <s v="-"/>
  </r>
  <r>
    <x v="31"/>
    <n v="707"/>
    <n v="37"/>
    <d v="2025-01-10T00:00:00"/>
    <s v="DEN"/>
    <m/>
    <s v="BRK"/>
    <x v="36"/>
    <n v="124"/>
    <n v="105"/>
    <x v="1"/>
    <n v="22"/>
    <n v="15"/>
    <s v="*"/>
    <d v="1899-12-31T14:11:00"/>
    <n v="14"/>
    <n v="21"/>
    <n v="0.66700000000000004"/>
    <n v="1"/>
    <n v="1"/>
    <n v="1"/>
    <n v="13"/>
    <n v="20"/>
    <n v="0.65"/>
    <n v="0.69"/>
    <n v="6"/>
    <n v="8"/>
    <n v="0.75"/>
    <n v="5"/>
    <x v="2"/>
    <n v="12"/>
    <n v="15"/>
    <x v="6"/>
    <x v="2"/>
    <n v="1"/>
    <x v="2"/>
    <x v="22"/>
    <n v="43.8"/>
    <n v="33"/>
    <n v="0.71399999999999997"/>
    <n v="0.69"/>
    <n v="0.153"/>
    <x v="30"/>
    <n v="0.17100000000000001"/>
    <n v="0.68799999999999994"/>
    <x v="18"/>
    <x v="5"/>
    <n v="3.9E-2"/>
    <n v="0.27500000000000002"/>
    <n v="160"/>
    <x v="26"/>
    <n v="43.8"/>
    <n v="25.1"/>
  </r>
  <r>
    <x v="32"/>
    <n v="708"/>
    <n v="38"/>
    <d v="2025-01-12T00:00:00"/>
    <s v="DEN"/>
    <s v="@"/>
    <s v="DAL"/>
    <x v="37"/>
    <n v="112"/>
    <n v="101"/>
    <x v="1"/>
    <n v="23"/>
    <n v="15"/>
    <s v="*"/>
    <d v="1899-12-31T14:38:00"/>
    <n v="6"/>
    <n v="13"/>
    <n v="0.46200000000000002"/>
    <n v="0"/>
    <n v="2"/>
    <n v="0"/>
    <n v="6"/>
    <n v="11"/>
    <n v="0.54500000000000004"/>
    <n v="0.46200000000000002"/>
    <n v="7"/>
    <n v="9"/>
    <n v="0.77800000000000002"/>
    <n v="4"/>
    <x v="13"/>
    <n v="18"/>
    <n v="9"/>
    <x v="3"/>
    <x v="2"/>
    <n v="4"/>
    <x v="6"/>
    <x v="23"/>
    <n v="22.2"/>
    <n v="-2"/>
    <n v="0.56000000000000005"/>
    <n v="0.46200000000000002"/>
    <n v="0.113"/>
    <x v="31"/>
    <n v="0.24299999999999999"/>
    <n v="0.28999999999999998"/>
    <x v="17"/>
    <x v="5"/>
    <n v="0.191"/>
    <n v="0.223"/>
    <n v="118"/>
    <x v="17"/>
    <n v="22.2"/>
    <n v="8.6"/>
  </r>
  <r>
    <x v="33"/>
    <n v="709"/>
    <n v="39"/>
    <d v="2025-01-14T00:00:00"/>
    <s v="DEN"/>
    <s v="@"/>
    <s v="DAL"/>
    <x v="38"/>
    <n v="118"/>
    <n v="99"/>
    <x v="1"/>
    <n v="24"/>
    <n v="15"/>
    <s v="*"/>
    <d v="1899-12-31T04:56:00"/>
    <n v="4"/>
    <n v="7"/>
    <n v="0.57099999999999995"/>
    <n v="1"/>
    <n v="2"/>
    <n v="0.5"/>
    <n v="3"/>
    <n v="5"/>
    <n v="0.6"/>
    <n v="0.64300000000000002"/>
    <n v="1"/>
    <n v="2"/>
    <n v="0.5"/>
    <n v="2"/>
    <x v="3"/>
    <n v="14"/>
    <n v="10"/>
    <x v="0"/>
    <x v="2"/>
    <n v="1"/>
    <x v="0"/>
    <x v="24"/>
    <n v="18.100000000000001"/>
    <n v="23"/>
    <n v="0.63500000000000001"/>
    <n v="0.64300000000000002"/>
    <n v="0.10099999999999999"/>
    <x v="32"/>
    <n v="0.28699999999999998"/>
    <n v="0.45600000000000002"/>
    <x v="20"/>
    <x v="5"/>
    <n v="0.113"/>
    <n v="0.13100000000000001"/>
    <n v="155"/>
    <x v="27"/>
    <n v="18.100000000000001"/>
    <n v="13.2"/>
  </r>
  <r>
    <x v="33"/>
    <m/>
    <n v="40"/>
    <d v="2025-01-15T00:00:00"/>
    <s v="DEN"/>
    <m/>
    <s v="HOU"/>
    <x v="39"/>
    <n v="108"/>
    <n v="128"/>
    <x v="0"/>
    <n v="24"/>
    <n v="16"/>
    <s v="Inactive"/>
    <s v="-"/>
    <s v="-"/>
    <s v="-"/>
    <s v="-"/>
    <s v="-"/>
    <s v="-"/>
    <s v="-"/>
    <s v="-"/>
    <s v="-"/>
    <s v="-"/>
    <s v="-"/>
    <s v="-"/>
    <s v="-"/>
    <s v="-"/>
    <s v="-"/>
    <x v="8"/>
    <s v="-"/>
    <s v="-"/>
    <x v="4"/>
    <x v="3"/>
    <s v="-"/>
    <x v="3"/>
    <x v="10"/>
    <s v="-"/>
    <s v="-"/>
    <s v="-"/>
    <s v="-"/>
    <s v="-"/>
    <x v="8"/>
    <s v="-"/>
    <s v="-"/>
    <x v="10"/>
    <x v="8"/>
    <s v="-"/>
    <n v="0"/>
    <s v="-"/>
    <x v="9"/>
    <s v="-"/>
    <s v="-"/>
  </r>
  <r>
    <x v="34"/>
    <n v="710"/>
    <n v="41"/>
    <d v="2025-01-17T00:00:00"/>
    <s v="DEN"/>
    <s v="@"/>
    <s v="MIA"/>
    <x v="40"/>
    <n v="133"/>
    <n v="113"/>
    <x v="1"/>
    <n v="25"/>
    <n v="16"/>
    <s v="*"/>
    <d v="1899-12-31T06:37:00"/>
    <n v="9"/>
    <n v="12"/>
    <n v="0.75"/>
    <n v="1"/>
    <n v="2"/>
    <n v="0.5"/>
    <n v="8"/>
    <n v="10"/>
    <n v="0.8"/>
    <n v="0.79200000000000004"/>
    <n v="5"/>
    <n v="5"/>
    <n v="1"/>
    <n v="2"/>
    <x v="7"/>
    <n v="12"/>
    <n v="10"/>
    <x v="1"/>
    <x v="2"/>
    <n v="2"/>
    <x v="2"/>
    <x v="25"/>
    <n v="29.2"/>
    <n v="6"/>
    <n v="0.84499999999999997"/>
    <n v="0.79200000000000004"/>
    <n v="7.4999999999999997E-2"/>
    <x v="33"/>
    <n v="0.22899999999999998"/>
    <n v="0.43700000000000006"/>
    <x v="21"/>
    <x v="5"/>
    <n v="0.12300000000000001"/>
    <n v="0.23899999999999999"/>
    <n v="165"/>
    <x v="2"/>
    <n v="29.2"/>
    <n v="18.2"/>
  </r>
  <r>
    <x v="35"/>
    <n v="711"/>
    <n v="42"/>
    <d v="2025-01-19T00:00:00"/>
    <s v="DEN"/>
    <s v="@"/>
    <s v="ORL"/>
    <x v="41"/>
    <n v="113"/>
    <n v="100"/>
    <x v="1"/>
    <n v="26"/>
    <n v="16"/>
    <s v="*"/>
    <d v="1899-12-31T06:07:00"/>
    <n v="7"/>
    <n v="9"/>
    <n v="0.77800000000000002"/>
    <n v="0"/>
    <n v="0"/>
    <s v="-"/>
    <n v="7"/>
    <n v="9"/>
    <n v="0.77800000000000002"/>
    <n v="0.77800000000000002"/>
    <n v="6"/>
    <n v="7"/>
    <n v="0.85699999999999998"/>
    <n v="1"/>
    <x v="6"/>
    <n v="14"/>
    <n v="10"/>
    <x v="3"/>
    <x v="4"/>
    <n v="2"/>
    <x v="4"/>
    <x v="17"/>
    <n v="30.8"/>
    <n v="20"/>
    <n v="0.82799999999999996"/>
    <n v="0.77800000000000002"/>
    <n v="4.4000000000000004E-2"/>
    <x v="34"/>
    <n v="0.23199999999999998"/>
    <n v="0.55299999999999994"/>
    <x v="18"/>
    <x v="14"/>
    <n v="0.14199999999999999"/>
    <n v="0.20100000000000001"/>
    <n v="161"/>
    <x v="28"/>
    <n v="30.8"/>
    <n v="29"/>
  </r>
  <r>
    <x v="36"/>
    <n v="712"/>
    <n v="43"/>
    <d v="2025-01-21T00:00:00"/>
    <s v="DEN"/>
    <m/>
    <s v="PHI"/>
    <x v="42"/>
    <n v="144"/>
    <n v="109"/>
    <x v="1"/>
    <n v="27"/>
    <n v="16"/>
    <s v="*"/>
    <d v="1899-12-31T06:21:00"/>
    <n v="10"/>
    <n v="15"/>
    <n v="0.66700000000000004"/>
    <n v="2"/>
    <n v="3"/>
    <n v="0.66700000000000004"/>
    <n v="8"/>
    <n v="12"/>
    <n v="0.66700000000000004"/>
    <n v="0.73299999999999998"/>
    <n v="5"/>
    <n v="5"/>
    <n v="1"/>
    <n v="5"/>
    <x v="0"/>
    <n v="13"/>
    <n v="10"/>
    <x v="6"/>
    <x v="0"/>
    <n v="2"/>
    <x v="2"/>
    <x v="5"/>
    <n v="35.700000000000003"/>
    <n v="21"/>
    <n v="0.78500000000000003"/>
    <n v="0.73299999999999998"/>
    <n v="0.255"/>
    <x v="35"/>
    <n v="0.27100000000000002"/>
    <n v="0.43700000000000006"/>
    <x v="22"/>
    <x v="1"/>
    <n v="0.10400000000000001"/>
    <n v="0.27600000000000002"/>
    <n v="172"/>
    <x v="29"/>
    <n v="35.700000000000003"/>
    <n v="24.1"/>
  </r>
  <r>
    <x v="37"/>
    <n v="713"/>
    <n v="44"/>
    <d v="2025-01-23T00:00:00"/>
    <s v="DEN"/>
    <m/>
    <s v="SAC"/>
    <x v="43"/>
    <n v="132"/>
    <n v="123"/>
    <x v="1"/>
    <n v="28"/>
    <n v="16"/>
    <s v="*"/>
    <d v="1899-12-31T13:23:00"/>
    <n v="12"/>
    <n v="19"/>
    <n v="0.63200000000000001"/>
    <n v="2"/>
    <n v="3"/>
    <n v="0.66700000000000004"/>
    <n v="10"/>
    <n v="16"/>
    <n v="0.625"/>
    <n v="0.68400000000000005"/>
    <n v="9"/>
    <n v="10"/>
    <n v="0.9"/>
    <n v="3"/>
    <x v="15"/>
    <n v="22"/>
    <n v="17"/>
    <x v="1"/>
    <x v="1"/>
    <n v="1"/>
    <x v="5"/>
    <x v="22"/>
    <n v="45.2"/>
    <n v="11"/>
    <n v="0.748"/>
    <n v="0.68400000000000005"/>
    <n v="7.5999999999999998E-2"/>
    <x v="36"/>
    <n v="0.25900000000000001"/>
    <n v="0.65"/>
    <x v="6"/>
    <x v="6"/>
    <n v="4.0999999999999995E-2"/>
    <n v="0.249"/>
    <n v="169"/>
    <x v="25"/>
    <n v="45.2"/>
    <n v="26.4"/>
  </r>
  <r>
    <x v="38"/>
    <n v="714"/>
    <n v="45"/>
    <d v="2025-01-25T00:00:00"/>
    <s v="DEN"/>
    <s v="@"/>
    <s v="MIN"/>
    <x v="44"/>
    <n v="104"/>
    <n v="133"/>
    <x v="0"/>
    <n v="28"/>
    <n v="17"/>
    <s v="*"/>
    <d v="1899-12-31T08:24:00"/>
    <n v="9"/>
    <n v="13"/>
    <n v="0.69199999999999995"/>
    <n v="2"/>
    <n v="4"/>
    <n v="0.5"/>
    <n v="7"/>
    <n v="9"/>
    <n v="0.77800000000000002"/>
    <n v="0.76900000000000002"/>
    <n v="0"/>
    <n v="1"/>
    <n v="0"/>
    <n v="1"/>
    <x v="11"/>
    <n v="3"/>
    <n v="11"/>
    <x v="2"/>
    <x v="2"/>
    <n v="7"/>
    <x v="4"/>
    <x v="17"/>
    <n v="16.100000000000001"/>
    <n v="-24"/>
    <n v="0.74399999999999999"/>
    <n v="0.76900000000000002"/>
    <n v="3.6000000000000004E-2"/>
    <x v="37"/>
    <n v="5.5E-2"/>
    <n v="0.54899999999999993"/>
    <x v="3"/>
    <x v="5"/>
    <n v="0.34200000000000003"/>
    <n v="0.26600000000000001"/>
    <n v="109"/>
    <x v="30"/>
    <n v="16.100000000000001"/>
    <n v="4.9000000000000004"/>
  </r>
  <r>
    <x v="39"/>
    <n v="715"/>
    <n v="46"/>
    <d v="2025-01-27T00:00:00"/>
    <s v="DEN"/>
    <s v="@"/>
    <s v="CHI"/>
    <x v="45"/>
    <n v="121"/>
    <n v="129"/>
    <x v="0"/>
    <n v="28"/>
    <n v="18"/>
    <s v="*"/>
    <d v="1899-12-31T15:43:00"/>
    <n v="15"/>
    <n v="21"/>
    <n v="0.71399999999999997"/>
    <n v="1"/>
    <n v="4"/>
    <n v="0.25"/>
    <n v="14"/>
    <n v="17"/>
    <n v="0.82399999999999995"/>
    <n v="0.73799999999999999"/>
    <n v="2"/>
    <n v="2"/>
    <n v="1"/>
    <n v="2"/>
    <x v="7"/>
    <n v="12"/>
    <n v="14"/>
    <x v="1"/>
    <x v="0"/>
    <n v="4"/>
    <x v="2"/>
    <x v="11"/>
    <n v="35.799999999999997"/>
    <n v="1"/>
    <n v="0.754"/>
    <n v="0.73799999999999999"/>
    <n v="5.2999999999999999E-2"/>
    <x v="35"/>
    <n v="0.16300000000000001"/>
    <n v="0.5"/>
    <x v="6"/>
    <x v="1"/>
    <n v="0.155"/>
    <n v="0.26100000000000001"/>
    <n v="138"/>
    <x v="22"/>
    <n v="35.799999999999997"/>
    <n v="14.7"/>
  </r>
  <r>
    <x v="40"/>
    <n v="716"/>
    <n v="47"/>
    <d v="2025-01-29T00:00:00"/>
    <s v="DEN"/>
    <s v="@"/>
    <s v="NYK"/>
    <x v="46"/>
    <n v="112"/>
    <n v="122"/>
    <x v="0"/>
    <n v="28"/>
    <n v="19"/>
    <s v="*"/>
    <d v="1899-12-31T09:26:00"/>
    <n v="6"/>
    <n v="15"/>
    <n v="0.4"/>
    <n v="3"/>
    <n v="7"/>
    <n v="0.42899999999999999"/>
    <n v="3"/>
    <n v="8"/>
    <n v="0.375"/>
    <n v="0.5"/>
    <n v="2"/>
    <n v="2"/>
    <n v="1"/>
    <n v="0"/>
    <x v="1"/>
    <n v="6"/>
    <n v="6"/>
    <x v="0"/>
    <x v="0"/>
    <n v="2"/>
    <x v="0"/>
    <x v="26"/>
    <n v="14.4"/>
    <n v="-3"/>
    <n v="0.53500000000000003"/>
    <n v="0.5"/>
    <n v="0"/>
    <x v="38"/>
    <n v="0.105"/>
    <n v="0.26600000000000001"/>
    <x v="23"/>
    <x v="10"/>
    <n v="0.11199999999999999"/>
    <n v="0.23699999999999999"/>
    <n v="114"/>
    <x v="31"/>
    <n v="14.4"/>
    <n v="5.3"/>
  </r>
  <r>
    <x v="41"/>
    <n v="717"/>
    <n v="48"/>
    <d v="2025-01-31T00:00:00"/>
    <s v="DEN"/>
    <s v="@"/>
    <s v="PHI"/>
    <x v="47"/>
    <n v="137"/>
    <n v="134"/>
    <x v="1"/>
    <n v="29"/>
    <n v="19"/>
    <s v="*"/>
    <d v="1899-12-31T13:28:00"/>
    <n v="11"/>
    <n v="16"/>
    <n v="0.68799999999999994"/>
    <n v="2"/>
    <n v="3"/>
    <n v="0.66700000000000004"/>
    <n v="9"/>
    <n v="13"/>
    <n v="0.69199999999999995"/>
    <n v="0.75"/>
    <n v="4"/>
    <n v="5"/>
    <n v="0.8"/>
    <n v="2"/>
    <x v="2"/>
    <n v="9"/>
    <n v="13"/>
    <x v="0"/>
    <x v="2"/>
    <n v="6"/>
    <x v="0"/>
    <x v="6"/>
    <n v="28.2"/>
    <n v="0"/>
    <n v="0.76900000000000002"/>
    <n v="0.75"/>
    <n v="0.10199999999999999"/>
    <x v="39"/>
    <n v="0.18600000000000003"/>
    <n v="0.41700000000000004"/>
    <x v="11"/>
    <x v="5"/>
    <n v="0.248"/>
    <n v="0.28499999999999998"/>
    <n v="137"/>
    <x v="32"/>
    <n v="28.2"/>
    <n v="7.6"/>
  </r>
  <r>
    <x v="42"/>
    <n v="718"/>
    <n v="49"/>
    <d v="2025-02-01T00:00:00"/>
    <s v="DEN"/>
    <s v="@"/>
    <s v="CHO"/>
    <x v="48"/>
    <n v="107"/>
    <n v="104"/>
    <x v="1"/>
    <n v="30"/>
    <n v="19"/>
    <s v="*"/>
    <d v="1899-12-31T12:33:00"/>
    <n v="9"/>
    <n v="17"/>
    <n v="0.52900000000000003"/>
    <n v="2"/>
    <n v="7"/>
    <n v="0.28599999999999998"/>
    <n v="7"/>
    <n v="10"/>
    <n v="0.7"/>
    <n v="0.58799999999999997"/>
    <n v="8"/>
    <n v="9"/>
    <n v="0.88900000000000001"/>
    <n v="1"/>
    <x v="3"/>
    <n v="13"/>
    <n v="17"/>
    <x v="6"/>
    <x v="0"/>
    <n v="4"/>
    <x v="1"/>
    <x v="6"/>
    <n v="35.4"/>
    <n v="-2"/>
    <n v="0.66800000000000004"/>
    <n v="0.58799999999999997"/>
    <n v="2.8999999999999998E-2"/>
    <x v="40"/>
    <n v="0.182"/>
    <n v="0.76500000000000001"/>
    <x v="24"/>
    <x v="11"/>
    <n v="0.16"/>
    <n v="0.30399999999999999"/>
    <n v="131"/>
    <x v="18"/>
    <n v="35.4"/>
    <n v="24.4"/>
  </r>
  <r>
    <x v="43"/>
    <n v="719"/>
    <n v="50"/>
    <d v="2025-02-03T00:00:00"/>
    <s v="DEN"/>
    <m/>
    <s v="NOP"/>
    <x v="49"/>
    <n v="125"/>
    <n v="113"/>
    <x v="1"/>
    <n v="31"/>
    <n v="19"/>
    <s v="*"/>
    <d v="1899-12-31T12:04:00"/>
    <n v="9"/>
    <n v="13"/>
    <n v="0.69199999999999995"/>
    <n v="1"/>
    <n v="3"/>
    <n v="0.33300000000000002"/>
    <n v="8"/>
    <n v="10"/>
    <n v="0.8"/>
    <n v="0.73099999999999998"/>
    <n v="8"/>
    <n v="10"/>
    <n v="0.8"/>
    <n v="1"/>
    <x v="6"/>
    <n v="14"/>
    <n v="10"/>
    <x v="1"/>
    <x v="1"/>
    <n v="1"/>
    <x v="1"/>
    <x v="5"/>
    <n v="32.9"/>
    <n v="11"/>
    <n v="0.77600000000000002"/>
    <n v="0.73099999999999998"/>
    <n v="3.2000000000000001E-2"/>
    <x v="41"/>
    <n v="0.214"/>
    <n v="0.39100000000000001"/>
    <x v="5"/>
    <x v="15"/>
    <n v="5.4000000000000006E-2"/>
    <n v="0.22399999999999998"/>
    <n v="167"/>
    <x v="2"/>
    <n v="32.9"/>
    <n v="19.5"/>
  </r>
  <r>
    <x v="44"/>
    <n v="720"/>
    <n v="51"/>
    <d v="2025-02-05T00:00:00"/>
    <s v="DEN"/>
    <m/>
    <s v="NOP"/>
    <x v="50"/>
    <n v="144"/>
    <n v="119"/>
    <x v="1"/>
    <n v="32"/>
    <n v="19"/>
    <s v="*"/>
    <d v="1899-12-31T11:42:00"/>
    <n v="15"/>
    <n v="28"/>
    <n v="0.53600000000000003"/>
    <n v="5"/>
    <n v="13"/>
    <n v="0.38500000000000001"/>
    <n v="10"/>
    <n v="15"/>
    <n v="0.66700000000000004"/>
    <n v="0.625"/>
    <n v="3"/>
    <n v="3"/>
    <n v="1"/>
    <n v="2"/>
    <x v="1"/>
    <n v="8"/>
    <n v="10"/>
    <x v="1"/>
    <x v="0"/>
    <n v="1"/>
    <x v="0"/>
    <x v="14"/>
    <n v="34.1"/>
    <n v="24"/>
    <n v="0.64800000000000002"/>
    <n v="0.625"/>
    <n v="6.6000000000000003E-2"/>
    <x v="42"/>
    <n v="0.121"/>
    <n v="0.36499999999999999"/>
    <x v="15"/>
    <x v="0"/>
    <n v="3.3000000000000002E-2"/>
    <n v="0.35299999999999998"/>
    <n v="146"/>
    <x v="8"/>
    <n v="34.1"/>
    <n v="12.2"/>
  </r>
  <r>
    <x v="45"/>
    <n v="721"/>
    <n v="52"/>
    <d v="2025-02-06T00:00:00"/>
    <s v="DEN"/>
    <m/>
    <s v="ORL"/>
    <x v="51"/>
    <n v="112"/>
    <n v="90"/>
    <x v="1"/>
    <n v="33"/>
    <n v="19"/>
    <s v="*"/>
    <d v="1899-12-31T07:07:00"/>
    <n v="11"/>
    <n v="16"/>
    <n v="0.68799999999999994"/>
    <n v="2"/>
    <n v="4"/>
    <n v="0.5"/>
    <n v="9"/>
    <n v="12"/>
    <n v="0.75"/>
    <n v="0.75"/>
    <n v="4"/>
    <n v="6"/>
    <n v="0.66700000000000004"/>
    <n v="0"/>
    <x v="7"/>
    <n v="10"/>
    <n v="12"/>
    <x v="0"/>
    <x v="2"/>
    <n v="3"/>
    <x v="1"/>
    <x v="6"/>
    <n v="30"/>
    <n v="22"/>
    <n v="0.751"/>
    <n v="0.75"/>
    <n v="0"/>
    <x v="43"/>
    <n v="0.16800000000000001"/>
    <n v="0.68500000000000005"/>
    <x v="25"/>
    <x v="5"/>
    <n v="0.13900000000000001"/>
    <n v="0.29699999999999999"/>
    <n v="145"/>
    <x v="33"/>
    <n v="30"/>
    <n v="24.3"/>
  </r>
  <r>
    <x v="46"/>
    <n v="722"/>
    <n v="53"/>
    <d v="2025-02-08T00:00:00"/>
    <s v="DEN"/>
    <s v="@"/>
    <s v="PHO"/>
    <x v="52"/>
    <n v="122"/>
    <n v="105"/>
    <x v="1"/>
    <n v="34"/>
    <n v="19"/>
    <s v="*"/>
    <d v="1899-12-31T04:38:00"/>
    <n v="11"/>
    <n v="13"/>
    <n v="0.84599999999999997"/>
    <n v="1"/>
    <n v="2"/>
    <n v="0.5"/>
    <n v="10"/>
    <n v="11"/>
    <n v="0.90900000000000003"/>
    <n v="0.88500000000000001"/>
    <n v="3"/>
    <n v="3"/>
    <n v="1"/>
    <n v="4"/>
    <x v="2"/>
    <n v="11"/>
    <n v="9"/>
    <x v="2"/>
    <x v="2"/>
    <n v="2"/>
    <x v="6"/>
    <x v="4"/>
    <n v="28.9"/>
    <n v="19"/>
    <n v="0.90800000000000003"/>
    <n v="0.88500000000000001"/>
    <n v="0.16399999999999998"/>
    <x v="44"/>
    <n v="0.18600000000000003"/>
    <n v="0.56799999999999995"/>
    <x v="3"/>
    <x v="5"/>
    <n v="0.12300000000000001"/>
    <n v="0.25"/>
    <n v="176"/>
    <x v="4"/>
    <n v="28.9"/>
    <n v="21"/>
  </r>
  <r>
    <x v="47"/>
    <n v="723"/>
    <n v="54"/>
    <d v="2025-02-10T00:00:00"/>
    <s v="DEN"/>
    <m/>
    <s v="POR"/>
    <x v="53"/>
    <n v="146"/>
    <n v="117"/>
    <x v="1"/>
    <n v="35"/>
    <n v="19"/>
    <s v="*"/>
    <d v="1899-12-31T06:46:00"/>
    <n v="15"/>
    <n v="22"/>
    <n v="0.68200000000000005"/>
    <n v="2"/>
    <n v="7"/>
    <n v="0.28599999999999998"/>
    <n v="13"/>
    <n v="15"/>
    <n v="0.86699999999999999"/>
    <n v="0.72699999999999998"/>
    <n v="8"/>
    <n v="8"/>
    <n v="1"/>
    <n v="1"/>
    <x v="1"/>
    <n v="7"/>
    <n v="8"/>
    <x v="3"/>
    <x v="0"/>
    <n v="5"/>
    <x v="1"/>
    <x v="2"/>
    <n v="36.6"/>
    <n v="22"/>
    <n v="0.78400000000000003"/>
    <n v="0.72699999999999998"/>
    <n v="5.4000000000000006E-2"/>
    <x v="45"/>
    <n v="0.154"/>
    <n v="0.34100000000000003"/>
    <x v="26"/>
    <x v="16"/>
    <n v="0.16399999999999998"/>
    <n v="0.434"/>
    <n v="135"/>
    <x v="12"/>
    <n v="36.6"/>
    <n v="14.9"/>
  </r>
  <r>
    <x v="48"/>
    <n v="724"/>
    <n v="55"/>
    <d v="2025-02-12T00:00:00"/>
    <s v="DEN"/>
    <m/>
    <s v="POR"/>
    <x v="30"/>
    <n v="132"/>
    <n v="121"/>
    <x v="1"/>
    <n v="36"/>
    <n v="19"/>
    <s v="*"/>
    <d v="1899-12-31T12:03:00"/>
    <n v="11"/>
    <n v="20"/>
    <n v="0.55000000000000004"/>
    <n v="0"/>
    <n v="3"/>
    <n v="0"/>
    <n v="11"/>
    <n v="17"/>
    <n v="0.64700000000000002"/>
    <n v="0.55000000000000004"/>
    <n v="4"/>
    <n v="4"/>
    <n v="1"/>
    <n v="3"/>
    <x v="3"/>
    <n v="15"/>
    <n v="10"/>
    <x v="0"/>
    <x v="2"/>
    <n v="4"/>
    <x v="6"/>
    <x v="4"/>
    <n v="25.5"/>
    <n v="6"/>
    <n v="0.59699999999999998"/>
    <n v="0.55000000000000004"/>
    <n v="9.3000000000000013E-2"/>
    <x v="10"/>
    <n v="0.21199999999999999"/>
    <n v="0.38799999999999996"/>
    <x v="11"/>
    <x v="5"/>
    <n v="0.155"/>
    <n v="0.28399999999999997"/>
    <n v="125"/>
    <x v="23"/>
    <n v="25.5"/>
    <n v="5.8"/>
  </r>
  <r>
    <x v="49"/>
    <n v="725"/>
    <n v="56"/>
    <d v="2025-02-20T00:00:00"/>
    <s v="DEN"/>
    <m/>
    <s v="CHO"/>
    <x v="54"/>
    <n v="129"/>
    <n v="115"/>
    <x v="1"/>
    <n v="37"/>
    <n v="19"/>
    <s v="*"/>
    <d v="1899-12-31T12:55:00"/>
    <n v="11"/>
    <n v="22"/>
    <n v="0.5"/>
    <n v="6"/>
    <n v="14"/>
    <n v="0.42899999999999999"/>
    <n v="5"/>
    <n v="8"/>
    <n v="0.625"/>
    <n v="0.63600000000000001"/>
    <n v="1"/>
    <n v="2"/>
    <n v="0.5"/>
    <n v="4"/>
    <x v="6"/>
    <n v="17"/>
    <n v="9"/>
    <x v="1"/>
    <x v="0"/>
    <n v="2"/>
    <x v="2"/>
    <x v="3"/>
    <n v="29.9"/>
    <n v="14"/>
    <n v="0.63400000000000001"/>
    <n v="0.63600000000000001"/>
    <n v="0.111"/>
    <x v="46"/>
    <n v="0.221"/>
    <n v="0.33700000000000002"/>
    <x v="15"/>
    <x v="0"/>
    <n v="0.08"/>
    <n v="0.27200000000000002"/>
    <n v="142"/>
    <x v="34"/>
    <n v="29.9"/>
    <n v="15"/>
  </r>
  <r>
    <x v="50"/>
    <n v="726"/>
    <n v="57"/>
    <d v="2025-02-22T00:00:00"/>
    <s v="DEN"/>
    <m/>
    <s v="LAL"/>
    <x v="55"/>
    <n v="100"/>
    <n v="123"/>
    <x v="0"/>
    <n v="37"/>
    <n v="20"/>
    <s v="*"/>
    <d v="1899-12-31T11:10:00"/>
    <n v="2"/>
    <n v="7"/>
    <n v="0.28599999999999998"/>
    <n v="0"/>
    <n v="1"/>
    <n v="0"/>
    <n v="2"/>
    <n v="6"/>
    <n v="0.33300000000000002"/>
    <n v="0.28599999999999998"/>
    <n v="8"/>
    <n v="10"/>
    <n v="0.8"/>
    <n v="4"/>
    <x v="5"/>
    <n v="13"/>
    <n v="10"/>
    <x v="1"/>
    <x v="2"/>
    <n v="6"/>
    <x v="0"/>
    <x v="27"/>
    <n v="13.4"/>
    <n v="-11"/>
    <n v="0.52600000000000002"/>
    <n v="0.28599999999999998"/>
    <n v="0.13"/>
    <x v="47"/>
    <n v="0.21100000000000002"/>
    <n v="0.436"/>
    <x v="27"/>
    <x v="5"/>
    <n v="0.34499999999999997"/>
    <n v="0.20399999999999999"/>
    <n v="104"/>
    <x v="35"/>
    <n v="13.4"/>
    <n v="0.3"/>
  </r>
  <r>
    <x v="51"/>
    <n v="727"/>
    <n v="58"/>
    <d v="2025-02-24T00:00:00"/>
    <s v="DEN"/>
    <s v="@"/>
    <s v="IND"/>
    <x v="56"/>
    <n v="125"/>
    <n v="116"/>
    <x v="1"/>
    <n v="38"/>
    <n v="20"/>
    <s v="*"/>
    <d v="1899-12-31T14:32:00"/>
    <n v="9"/>
    <n v="14"/>
    <n v="0.64300000000000002"/>
    <n v="0"/>
    <n v="1"/>
    <n v="0"/>
    <n v="9"/>
    <n v="13"/>
    <n v="0.69199999999999995"/>
    <n v="0.64300000000000002"/>
    <n v="0"/>
    <n v="0"/>
    <s v="-"/>
    <n v="0"/>
    <x v="5"/>
    <n v="9"/>
    <n v="19"/>
    <x v="3"/>
    <x v="0"/>
    <n v="4"/>
    <x v="2"/>
    <x v="28"/>
    <n v="27.1"/>
    <n v="17"/>
    <n v="0.64300000000000002"/>
    <n v="0.64300000000000002"/>
    <n v="0"/>
    <x v="21"/>
    <n v="0.14400000000000002"/>
    <n v="0.56600000000000006"/>
    <x v="28"/>
    <x v="3"/>
    <n v="0.222"/>
    <n v="0.187"/>
    <n v="133"/>
    <x v="20"/>
    <n v="27.1"/>
    <n v="17"/>
  </r>
  <r>
    <x v="52"/>
    <n v="728"/>
    <n v="59"/>
    <d v="2025-02-27T00:00:00"/>
    <s v="DEN"/>
    <s v="@"/>
    <s v="MIL"/>
    <x v="57"/>
    <n v="112"/>
    <n v="121"/>
    <x v="0"/>
    <n v="38"/>
    <n v="21"/>
    <s v="*"/>
    <d v="1899-12-31T13:32:00"/>
    <n v="13"/>
    <n v="16"/>
    <n v="0.81299999999999994"/>
    <n v="1"/>
    <n v="2"/>
    <n v="0.5"/>
    <n v="12"/>
    <n v="14"/>
    <n v="0.85699999999999998"/>
    <n v="0.84399999999999997"/>
    <n v="5"/>
    <n v="7"/>
    <n v="0.71399999999999997"/>
    <n v="1"/>
    <x v="6"/>
    <n v="14"/>
    <n v="10"/>
    <x v="1"/>
    <x v="2"/>
    <n v="5"/>
    <x v="6"/>
    <x v="18"/>
    <n v="31.2"/>
    <n v="-5"/>
    <n v="0.83899999999999997"/>
    <n v="0.84399999999999997"/>
    <n v="2.3E-2"/>
    <x v="48"/>
    <n v="0.17399999999999999"/>
    <n v="0.42100000000000004"/>
    <x v="6"/>
    <x v="5"/>
    <n v="0.20800000000000002"/>
    <n v="0.251"/>
    <n v="137"/>
    <x v="6"/>
    <n v="31.2"/>
    <n v="15.3"/>
  </r>
  <r>
    <x v="53"/>
    <n v="729"/>
    <n v="60"/>
    <d v="2025-02-28T00:00:00"/>
    <s v="DEN"/>
    <s v="@"/>
    <s v="DET"/>
    <x v="58"/>
    <n v="134"/>
    <n v="119"/>
    <x v="1"/>
    <n v="39"/>
    <n v="21"/>
    <s v="*"/>
    <d v="1899-12-31T10:10:00"/>
    <n v="6"/>
    <n v="12"/>
    <n v="0.5"/>
    <n v="0"/>
    <n v="3"/>
    <n v="0"/>
    <n v="6"/>
    <n v="9"/>
    <n v="0.66700000000000004"/>
    <n v="0.5"/>
    <n v="11"/>
    <n v="12"/>
    <n v="0.91700000000000004"/>
    <n v="0"/>
    <x v="10"/>
    <n v="17"/>
    <n v="15"/>
    <x v="1"/>
    <x v="1"/>
    <n v="7"/>
    <x v="1"/>
    <x v="7"/>
    <n v="26.8"/>
    <n v="33"/>
    <n v="0.66600000000000004"/>
    <n v="0.5"/>
    <n v="0"/>
    <x v="49"/>
    <n v="0.26"/>
    <n v="0.54600000000000004"/>
    <x v="15"/>
    <x v="17"/>
    <n v="0.28800000000000003"/>
    <n v="0.28999999999999998"/>
    <n v="125"/>
    <x v="36"/>
    <n v="26.8"/>
    <n v="11.2"/>
  </r>
  <r>
    <x v="54"/>
    <n v="730"/>
    <n v="61"/>
    <d v="2025-03-02T00:00:00"/>
    <s v="DEN"/>
    <s v="@"/>
    <s v="BOS"/>
    <x v="59"/>
    <n v="103"/>
    <n v="110"/>
    <x v="0"/>
    <n v="39"/>
    <n v="22"/>
    <s v="*"/>
    <d v="1899-12-31T15:23:00"/>
    <n v="9"/>
    <n v="15"/>
    <n v="0.6"/>
    <n v="2"/>
    <n v="3"/>
    <n v="0.66700000000000004"/>
    <n v="7"/>
    <n v="12"/>
    <n v="0.58299999999999996"/>
    <n v="0.66700000000000004"/>
    <n v="0"/>
    <n v="0"/>
    <s v="-"/>
    <n v="3"/>
    <x v="4"/>
    <n v="14"/>
    <n v="9"/>
    <x v="0"/>
    <x v="2"/>
    <n v="2"/>
    <x v="1"/>
    <x v="17"/>
    <n v="24"/>
    <n v="0"/>
    <n v="0.66700000000000004"/>
    <n v="0.66700000000000004"/>
    <n v="8.5000000000000006E-2"/>
    <x v="50"/>
    <n v="0.20600000000000002"/>
    <n v="0.36499999999999999"/>
    <x v="11"/>
    <x v="5"/>
    <n v="0.11800000000000001"/>
    <n v="0.2"/>
    <n v="135"/>
    <x v="1"/>
    <n v="24"/>
    <n v="11.6"/>
  </r>
  <r>
    <x v="55"/>
    <n v="731"/>
    <n v="62"/>
    <d v="2025-03-05T00:00:00"/>
    <s v="DEN"/>
    <m/>
    <s v="SAC"/>
    <x v="60"/>
    <n v="116"/>
    <n v="110"/>
    <x v="1"/>
    <n v="40"/>
    <n v="22"/>
    <s v="*"/>
    <d v="1899-12-31T14:08:00"/>
    <n v="9"/>
    <n v="18"/>
    <n v="0.5"/>
    <n v="0"/>
    <n v="2"/>
    <n v="0"/>
    <n v="9"/>
    <n v="16"/>
    <n v="0.56299999999999994"/>
    <n v="0.5"/>
    <n v="4"/>
    <n v="6"/>
    <n v="0.66700000000000004"/>
    <n v="5"/>
    <x v="7"/>
    <n v="15"/>
    <n v="6"/>
    <x v="1"/>
    <x v="2"/>
    <n v="7"/>
    <x v="0"/>
    <x v="13"/>
    <n v="15.7"/>
    <n v="-7"/>
    <n v="0.53300000000000003"/>
    <n v="0.5"/>
    <n v="0.15"/>
    <x v="5"/>
    <n v="0.20699999999999999"/>
    <n v="0.26300000000000001"/>
    <x v="15"/>
    <x v="5"/>
    <n v="0.253"/>
    <n v="0.307"/>
    <n v="97"/>
    <x v="37"/>
    <n v="15.7"/>
    <n v="-3.6"/>
  </r>
  <r>
    <x v="56"/>
    <n v="732"/>
    <n v="63"/>
    <d v="2025-03-07T00:00:00"/>
    <s v="DEN"/>
    <m/>
    <s v="PHO"/>
    <x v="61"/>
    <n v="149"/>
    <n v="141"/>
    <x v="1"/>
    <n v="41"/>
    <n v="22"/>
    <s v="*"/>
    <d v="1899-12-31T20:55:00"/>
    <n v="13"/>
    <n v="22"/>
    <n v="0.59099999999999997"/>
    <n v="3"/>
    <n v="7"/>
    <n v="0.42899999999999999"/>
    <n v="10"/>
    <n v="15"/>
    <n v="0.66700000000000004"/>
    <n v="0.65900000000000003"/>
    <n v="2"/>
    <n v="3"/>
    <n v="0.66700000000000004"/>
    <n v="4"/>
    <x v="10"/>
    <n v="21"/>
    <n v="22"/>
    <x v="3"/>
    <x v="2"/>
    <n v="4"/>
    <x v="0"/>
    <x v="29"/>
    <n v="41.5"/>
    <n v="8"/>
    <n v="0.66500000000000004"/>
    <n v="0.65900000000000003"/>
    <n v="0.11800000000000001"/>
    <x v="51"/>
    <n v="0.32200000000000001"/>
    <n v="0.623"/>
    <x v="20"/>
    <x v="5"/>
    <n v="0.14599999999999999"/>
    <n v="0.28300000000000003"/>
    <n v="148"/>
    <x v="38"/>
    <n v="41.5"/>
    <n v="17.2"/>
  </r>
  <r>
    <x v="57"/>
    <n v="733"/>
    <n v="64"/>
    <d v="2025-03-09T00:00:00"/>
    <s v="DEN"/>
    <s v="@"/>
    <s v="OKC"/>
    <x v="62"/>
    <n v="103"/>
    <n v="127"/>
    <x v="0"/>
    <n v="41"/>
    <n v="23"/>
    <s v="*"/>
    <d v="1899-12-31T17:14:00"/>
    <n v="10"/>
    <n v="23"/>
    <n v="0.435"/>
    <n v="2"/>
    <n v="10"/>
    <n v="0.2"/>
    <n v="8"/>
    <n v="13"/>
    <n v="0.61499999999999999"/>
    <n v="0.47799999999999998"/>
    <n v="2"/>
    <n v="6"/>
    <n v="0.33300000000000002"/>
    <n v="2"/>
    <x v="4"/>
    <n v="13"/>
    <n v="9"/>
    <x v="1"/>
    <x v="4"/>
    <n v="2"/>
    <x v="0"/>
    <x v="25"/>
    <n v="21.2"/>
    <n v="-13"/>
    <n v="0.46800000000000003"/>
    <n v="0.47799999999999998"/>
    <n v="3.9E-2"/>
    <x v="43"/>
    <n v="0.14599999999999999"/>
    <n v="0.36899999999999999"/>
    <x v="6"/>
    <x v="18"/>
    <n v="7.2000000000000008E-2"/>
    <n v="0.28300000000000003"/>
    <n v="104"/>
    <x v="39"/>
    <n v="21.2"/>
    <n v="9.1999999999999993"/>
  </r>
  <r>
    <x v="58"/>
    <n v="734"/>
    <n v="65"/>
    <d v="2025-03-10T00:00:00"/>
    <s v="DEN"/>
    <s v="@"/>
    <s v="OKC"/>
    <x v="63"/>
    <n v="140"/>
    <n v="127"/>
    <x v="1"/>
    <n v="42"/>
    <n v="23"/>
    <s v="*"/>
    <d v="1899-12-31T15:36:00"/>
    <n v="15"/>
    <n v="20"/>
    <n v="0.75"/>
    <n v="1"/>
    <n v="2"/>
    <n v="0.5"/>
    <n v="14"/>
    <n v="18"/>
    <n v="0.77800000000000002"/>
    <n v="0.77500000000000002"/>
    <n v="4"/>
    <n v="5"/>
    <n v="0.8"/>
    <n v="2"/>
    <x v="16"/>
    <n v="18"/>
    <n v="8"/>
    <x v="1"/>
    <x v="0"/>
    <n v="1"/>
    <x v="6"/>
    <x v="22"/>
    <n v="37.5"/>
    <n v="8"/>
    <n v="0.78800000000000003"/>
    <n v="0.77500000000000002"/>
    <n v="7.2999999999999995E-2"/>
    <x v="52"/>
    <n v="0.27300000000000002"/>
    <n v="0.28699999999999998"/>
    <x v="6"/>
    <x v="19"/>
    <n v="4.2999999999999997E-2"/>
    <n v="0.26300000000000001"/>
    <n v="167"/>
    <x v="31"/>
    <n v="37.5"/>
    <n v="13.3"/>
  </r>
  <r>
    <x v="59"/>
    <n v="735"/>
    <n v="66"/>
    <d v="2025-03-12T00:00:00"/>
    <s v="DEN"/>
    <m/>
    <s v="MIN"/>
    <x v="64"/>
    <n v="95"/>
    <n v="115"/>
    <x v="0"/>
    <n v="42"/>
    <n v="24"/>
    <s v="*"/>
    <d v="1899-12-31T14:16:00"/>
    <n v="13"/>
    <n v="23"/>
    <n v="0.56499999999999995"/>
    <n v="2"/>
    <n v="6"/>
    <n v="0.33300000000000002"/>
    <n v="11"/>
    <n v="17"/>
    <n v="0.64700000000000002"/>
    <n v="0.60899999999999999"/>
    <n v="6"/>
    <n v="8"/>
    <n v="0.75"/>
    <n v="3"/>
    <x v="14"/>
    <n v="8"/>
    <n v="4"/>
    <x v="1"/>
    <x v="2"/>
    <n v="3"/>
    <x v="0"/>
    <x v="12"/>
    <n v="25.5"/>
    <n v="-24"/>
    <n v="0.64100000000000001"/>
    <n v="0.60899999999999999"/>
    <n v="7.8E-2"/>
    <x v="53"/>
    <n v="0.111"/>
    <n v="0.255"/>
    <x v="15"/>
    <x v="5"/>
    <n v="0.10199999999999999"/>
    <n v="0.34100000000000003"/>
    <n v="123"/>
    <x v="22"/>
    <n v="25.5"/>
    <n v="10.7"/>
  </r>
  <r>
    <x v="60"/>
    <n v="736"/>
    <n v="67"/>
    <d v="2025-03-14T00:00:00"/>
    <s v="DEN"/>
    <m/>
    <s v="LAL"/>
    <x v="65"/>
    <n v="131"/>
    <n v="126"/>
    <x v="1"/>
    <n v="43"/>
    <n v="24"/>
    <s v="*"/>
    <d v="1899-12-31T13:47:00"/>
    <n v="8"/>
    <n v="16"/>
    <n v="0.5"/>
    <n v="0"/>
    <n v="4"/>
    <n v="0"/>
    <n v="8"/>
    <n v="12"/>
    <n v="0.66700000000000004"/>
    <n v="0.5"/>
    <n v="12"/>
    <n v="17"/>
    <n v="0.70599999999999996"/>
    <n v="1"/>
    <x v="1"/>
    <n v="7"/>
    <n v="5"/>
    <x v="3"/>
    <x v="0"/>
    <n v="4"/>
    <x v="5"/>
    <x v="6"/>
    <n v="21.7"/>
    <n v="2"/>
    <n v="0.59599999999999997"/>
    <n v="0.5"/>
    <n v="3.4000000000000002E-2"/>
    <x v="54"/>
    <n v="0.10300000000000001"/>
    <n v="0.188"/>
    <x v="17"/>
    <x v="20"/>
    <n v="0.14599999999999999"/>
    <n v="0.307"/>
    <n v="115"/>
    <x v="13"/>
    <n v="21.7"/>
    <n v="-0.5"/>
  </r>
  <r>
    <x v="61"/>
    <n v="737"/>
    <n v="68"/>
    <d v="2025-03-15T00:00:00"/>
    <s v="DEN"/>
    <m/>
    <s v="WAS"/>
    <x v="66"/>
    <n v="123"/>
    <n v="126"/>
    <x v="0"/>
    <n v="43"/>
    <n v="25"/>
    <s v="*"/>
    <d v="1899-12-31T15:14:00"/>
    <n v="16"/>
    <n v="30"/>
    <n v="0.53300000000000003"/>
    <n v="1"/>
    <n v="8"/>
    <n v="0.125"/>
    <n v="15"/>
    <n v="22"/>
    <n v="0.68200000000000005"/>
    <n v="0.55000000000000004"/>
    <n v="7"/>
    <n v="7"/>
    <n v="1"/>
    <n v="3"/>
    <x v="7"/>
    <n v="13"/>
    <n v="9"/>
    <x v="1"/>
    <x v="1"/>
    <n v="3"/>
    <x v="0"/>
    <x v="2"/>
    <n v="35"/>
    <n v="6"/>
    <n v="0.60499999999999998"/>
    <n v="0.55000000000000004"/>
    <n v="0.09"/>
    <x v="55"/>
    <n v="0.185"/>
    <n v="0.38700000000000001"/>
    <x v="6"/>
    <x v="21"/>
    <n v="8.3000000000000004E-2"/>
    <n v="0.36599999999999999"/>
    <n v="124"/>
    <x v="16"/>
    <n v="35"/>
    <n v="7.6"/>
  </r>
  <r>
    <x v="61"/>
    <m/>
    <n v="69"/>
    <d v="2025-03-17T00:00:00"/>
    <s v="DEN"/>
    <s v="@"/>
    <s v="GSW"/>
    <x v="67"/>
    <n v="114"/>
    <n v="105"/>
    <x v="1"/>
    <n v="44"/>
    <n v="25"/>
    <s v="Inactive"/>
    <s v="-"/>
    <s v="-"/>
    <s v="-"/>
    <s v="-"/>
    <s v="-"/>
    <s v="-"/>
    <s v="-"/>
    <s v="-"/>
    <s v="-"/>
    <s v="-"/>
    <s v="-"/>
    <s v="-"/>
    <s v="-"/>
    <s v="-"/>
    <s v="-"/>
    <x v="8"/>
    <s v="-"/>
    <s v="-"/>
    <x v="4"/>
    <x v="3"/>
    <s v="-"/>
    <x v="3"/>
    <x v="10"/>
    <s v="-"/>
    <s v="-"/>
    <s v="-"/>
    <s v="-"/>
    <s v="-"/>
    <x v="8"/>
    <s v="-"/>
    <s v="-"/>
    <x v="10"/>
    <x v="8"/>
    <s v="-"/>
    <s v="-"/>
    <s v="-"/>
    <x v="9"/>
    <s v="-"/>
    <s v="-"/>
  </r>
  <r>
    <x v="61"/>
    <m/>
    <n v="70"/>
    <d v="2025-03-19T00:00:00"/>
    <s v="DEN"/>
    <s v="@"/>
    <s v="LAL"/>
    <x v="68"/>
    <n v="108"/>
    <n v="120"/>
    <x v="0"/>
    <n v="44"/>
    <n v="26"/>
    <s v="Inactive"/>
    <s v="-"/>
    <s v="-"/>
    <s v="-"/>
    <s v="-"/>
    <s v="-"/>
    <s v="-"/>
    <s v="-"/>
    <s v="-"/>
    <s v="-"/>
    <s v="-"/>
    <s v="-"/>
    <s v="-"/>
    <s v="-"/>
    <s v="-"/>
    <s v="-"/>
    <x v="8"/>
    <s v="-"/>
    <s v="-"/>
    <x v="4"/>
    <x v="3"/>
    <s v="-"/>
    <x v="3"/>
    <x v="10"/>
    <s v="-"/>
    <s v="-"/>
    <s v="-"/>
    <s v="-"/>
    <s v="-"/>
    <x v="8"/>
    <s v="-"/>
    <s v="-"/>
    <x v="10"/>
    <x v="8"/>
    <s v="-"/>
    <s v="-"/>
    <s v="-"/>
    <x v="9"/>
    <s v="-"/>
    <s v="-"/>
  </r>
  <r>
    <x v="61"/>
    <m/>
    <n v="71"/>
    <d v="2025-03-21T00:00:00"/>
    <s v="DEN"/>
    <s v="@"/>
    <s v="POR"/>
    <x v="69"/>
    <n v="109"/>
    <n v="128"/>
    <x v="0"/>
    <n v="44"/>
    <n v="27"/>
    <s v="Inactive"/>
    <s v="-"/>
    <s v="-"/>
    <s v="-"/>
    <s v="-"/>
    <s v="-"/>
    <s v="-"/>
    <s v="-"/>
    <s v="-"/>
    <s v="-"/>
    <s v="-"/>
    <s v="-"/>
    <s v="-"/>
    <s v="-"/>
    <s v="-"/>
    <s v="-"/>
    <x v="8"/>
    <s v="-"/>
    <s v="-"/>
    <x v="4"/>
    <x v="3"/>
    <s v="-"/>
    <x v="3"/>
    <x v="10"/>
    <s v="-"/>
    <s v="-"/>
    <s v="-"/>
    <s v="-"/>
    <s v="-"/>
    <x v="8"/>
    <s v="-"/>
    <s v="-"/>
    <x v="10"/>
    <x v="8"/>
    <s v="-"/>
    <s v="-"/>
    <s v="-"/>
    <x v="9"/>
    <s v="-"/>
    <s v="-"/>
  </r>
  <r>
    <x v="61"/>
    <m/>
    <n v="72"/>
    <d v="2025-03-23T00:00:00"/>
    <s v="DEN"/>
    <s v="@"/>
    <s v="HOU"/>
    <x v="70"/>
    <n v="116"/>
    <n v="111"/>
    <x v="1"/>
    <n v="45"/>
    <n v="27"/>
    <s v="Inactive"/>
    <s v="-"/>
    <s v="-"/>
    <s v="-"/>
    <s v="-"/>
    <s v="-"/>
    <s v="-"/>
    <s v="-"/>
    <s v="-"/>
    <s v="-"/>
    <s v="-"/>
    <s v="-"/>
    <s v="-"/>
    <s v="-"/>
    <s v="-"/>
    <s v="-"/>
    <x v="8"/>
    <s v="-"/>
    <s v="-"/>
    <x v="4"/>
    <x v="3"/>
    <s v="-"/>
    <x v="3"/>
    <x v="10"/>
    <s v="-"/>
    <s v="-"/>
    <s v="-"/>
    <s v="-"/>
    <s v="-"/>
    <x v="8"/>
    <s v="-"/>
    <s v="-"/>
    <x v="10"/>
    <x v="8"/>
    <s v="-"/>
    <s v="-"/>
    <s v="-"/>
    <x v="9"/>
    <s v="-"/>
    <s v="-"/>
  </r>
  <r>
    <x v="61"/>
    <m/>
    <n v="73"/>
    <d v="2025-03-24T00:00:00"/>
    <s v="DEN"/>
    <m/>
    <s v="CHI"/>
    <x v="71"/>
    <n v="119"/>
    <n v="129"/>
    <x v="0"/>
    <n v="45"/>
    <n v="28"/>
    <s v="Inactive"/>
    <s v="-"/>
    <s v="-"/>
    <s v="-"/>
    <s v="-"/>
    <s v="-"/>
    <s v="-"/>
    <s v="-"/>
    <s v="-"/>
    <s v="-"/>
    <s v="-"/>
    <s v="-"/>
    <s v="-"/>
    <s v="-"/>
    <s v="-"/>
    <s v="-"/>
    <x v="8"/>
    <s v="-"/>
    <s v="-"/>
    <x v="4"/>
    <x v="3"/>
    <s v="-"/>
    <x v="3"/>
    <x v="10"/>
    <s v="-"/>
    <s v="-"/>
    <s v="-"/>
    <s v="-"/>
    <s v="-"/>
    <x v="8"/>
    <s v="-"/>
    <s v="-"/>
    <x v="10"/>
    <x v="8"/>
    <s v="-"/>
    <s v="-"/>
    <s v="-"/>
    <x v="9"/>
    <s v="-"/>
    <s v="-"/>
  </r>
  <r>
    <x v="62"/>
    <n v="738"/>
    <n v="74"/>
    <d v="2025-03-26T00:00:00"/>
    <s v="DEN"/>
    <m/>
    <s v="MIL"/>
    <x v="72"/>
    <n v="127"/>
    <n v="117"/>
    <x v="1"/>
    <n v="46"/>
    <n v="28"/>
    <s v="*"/>
    <d v="1899-12-31T14:06:00"/>
    <n v="16"/>
    <n v="25"/>
    <n v="0.64"/>
    <n v="3"/>
    <n v="6"/>
    <n v="0.5"/>
    <n v="13"/>
    <n v="19"/>
    <n v="0.68400000000000005"/>
    <n v="0.7"/>
    <n v="4"/>
    <n v="7"/>
    <n v="0.57099999999999995"/>
    <n v="2"/>
    <x v="0"/>
    <n v="10"/>
    <n v="10"/>
    <x v="2"/>
    <x v="2"/>
    <n v="3"/>
    <x v="1"/>
    <x v="30"/>
    <n v="33.700000000000003"/>
    <n v="14"/>
    <n v="0.69399999999999995"/>
    <n v="0.7"/>
    <n v="6.5000000000000002E-2"/>
    <x v="25"/>
    <n v="0.14800000000000002"/>
    <n v="0.43700000000000006"/>
    <x v="3"/>
    <x v="5"/>
    <n v="9.6999999999999989E-2"/>
    <n v="0.35700000000000004"/>
    <n v="135"/>
    <x v="39"/>
    <n v="33.700000000000003"/>
    <n v="10.8"/>
  </r>
  <r>
    <x v="63"/>
    <n v="739"/>
    <n v="75"/>
    <d v="2025-03-28T00:00:00"/>
    <s v="DEN"/>
    <m/>
    <s v="UTA"/>
    <x v="73"/>
    <n v="129"/>
    <n v="93"/>
    <x v="1"/>
    <n v="47"/>
    <n v="28"/>
    <s v="*"/>
    <d v="1899-12-31T07:33:00"/>
    <n v="8"/>
    <n v="18"/>
    <n v="0.44400000000000001"/>
    <n v="1"/>
    <n v="5"/>
    <n v="0.2"/>
    <n v="7"/>
    <n v="13"/>
    <n v="0.53800000000000003"/>
    <n v="0.47199999999999998"/>
    <n v="10"/>
    <n v="12"/>
    <n v="0.83299999999999996"/>
    <n v="5"/>
    <x v="5"/>
    <n v="14"/>
    <n v="6"/>
    <x v="6"/>
    <x v="2"/>
    <n v="3"/>
    <x v="4"/>
    <x v="5"/>
    <n v="28.2"/>
    <n v="28"/>
    <n v="0.57999999999999996"/>
    <n v="0.47199999999999998"/>
    <n v="0.20600000000000002"/>
    <x v="17"/>
    <n v="0.245"/>
    <n v="0.255"/>
    <x v="29"/>
    <x v="5"/>
    <n v="0.114"/>
    <n v="0.35299999999999998"/>
    <n v="125"/>
    <x v="40"/>
    <n v="28.2"/>
    <n v="7.6"/>
  </r>
  <r>
    <x v="64"/>
    <n v="740"/>
    <n v="76"/>
    <d v="2025-04-01T00:00:00"/>
    <s v="DEN"/>
    <m/>
    <s v="MIN"/>
    <x v="74"/>
    <n v="139"/>
    <n v="140"/>
    <x v="0"/>
    <n v="47"/>
    <n v="29"/>
    <s v="*"/>
    <d v="1900-01-01T04:38:00"/>
    <n v="18"/>
    <n v="29"/>
    <n v="0.621"/>
    <n v="6"/>
    <n v="11"/>
    <n v="0.54500000000000004"/>
    <n v="12"/>
    <n v="18"/>
    <n v="0.66700000000000004"/>
    <n v="0.72399999999999998"/>
    <n v="19"/>
    <n v="24"/>
    <n v="0.79200000000000004"/>
    <n v="2"/>
    <x v="0"/>
    <n v="10"/>
    <n v="10"/>
    <x v="0"/>
    <x v="2"/>
    <n v="4"/>
    <x v="5"/>
    <x v="31"/>
    <n v="52.7"/>
    <n v="2"/>
    <n v="0.77100000000000002"/>
    <n v="0.72399999999999998"/>
    <n v="5.7000000000000002E-2"/>
    <x v="56"/>
    <n v="0.114"/>
    <n v="0.40600000000000003"/>
    <x v="30"/>
    <x v="5"/>
    <n v="9.1999999999999998E-2"/>
    <n v="0.38900000000000001"/>
    <n v="148"/>
    <x v="39"/>
    <n v="52.7"/>
    <n v="17.3"/>
  </r>
  <r>
    <x v="64"/>
    <m/>
    <n v="77"/>
    <d v="2025-04-02T00:00:00"/>
    <s v="DEN"/>
    <m/>
    <s v="SAS"/>
    <x v="75"/>
    <n v="106"/>
    <n v="113"/>
    <x v="0"/>
    <n v="47"/>
    <n v="30"/>
    <s v="Inactive"/>
    <s v="-"/>
    <s v="-"/>
    <s v="-"/>
    <s v="-"/>
    <s v="-"/>
    <s v="-"/>
    <s v="-"/>
    <s v="-"/>
    <s v="-"/>
    <s v="-"/>
    <s v="-"/>
    <s v="-"/>
    <s v="-"/>
    <s v="-"/>
    <s v="-"/>
    <x v="8"/>
    <s v="-"/>
    <s v="-"/>
    <x v="4"/>
    <x v="3"/>
    <s v="-"/>
    <x v="3"/>
    <x v="10"/>
    <s v="-"/>
    <s v="-"/>
    <s v="-"/>
    <s v="-"/>
    <s v="-"/>
    <x v="8"/>
    <s v="-"/>
    <s v="-"/>
    <x v="10"/>
    <x v="8"/>
    <s v="-"/>
    <s v="-"/>
    <s v="-"/>
    <x v="9"/>
    <s v="-"/>
    <s v="-"/>
  </r>
  <r>
    <x v="65"/>
    <n v="741"/>
    <n v="78"/>
    <d v="2025-04-04T00:00:00"/>
    <s v="DEN"/>
    <s v="@"/>
    <s v="GSW"/>
    <x v="76"/>
    <n v="104"/>
    <n v="118"/>
    <x v="0"/>
    <n v="47"/>
    <n v="31"/>
    <s v="*"/>
    <d v="1899-12-31T13:13:00"/>
    <n v="13"/>
    <n v="17"/>
    <n v="0.76500000000000001"/>
    <n v="4"/>
    <n v="7"/>
    <n v="0.57099999999999995"/>
    <n v="9"/>
    <n v="10"/>
    <n v="0.9"/>
    <n v="0.88200000000000001"/>
    <n v="3"/>
    <n v="3"/>
    <n v="1"/>
    <n v="2"/>
    <x v="7"/>
    <n v="12"/>
    <n v="9"/>
    <x v="0"/>
    <x v="2"/>
    <n v="6"/>
    <x v="1"/>
    <x v="11"/>
    <n v="32.200000000000003"/>
    <n v="-4"/>
    <n v="0.90100000000000002"/>
    <n v="0.88200000000000001"/>
    <n v="8.1000000000000003E-2"/>
    <x v="13"/>
    <n v="0.20899999999999999"/>
    <n v="0.5"/>
    <x v="0"/>
    <x v="5"/>
    <n v="0.247"/>
    <n v="0.29699999999999999"/>
    <n v="138"/>
    <x v="41"/>
    <n v="32.200000000000003"/>
    <n v="17.5"/>
  </r>
  <r>
    <x v="66"/>
    <n v="742"/>
    <n v="79"/>
    <d v="2025-04-06T00:00:00"/>
    <s v="DEN"/>
    <m/>
    <s v="IND"/>
    <x v="77"/>
    <n v="120"/>
    <n v="125"/>
    <x v="0"/>
    <n v="47"/>
    <n v="32"/>
    <s v="*"/>
    <d v="1899-12-31T15:00:00"/>
    <n v="18"/>
    <n v="33"/>
    <n v="0.54500000000000004"/>
    <n v="3"/>
    <n v="11"/>
    <n v="0.27300000000000002"/>
    <n v="15"/>
    <n v="22"/>
    <n v="0.68200000000000005"/>
    <n v="0.59099999999999997"/>
    <n v="2"/>
    <n v="3"/>
    <n v="0.66700000000000004"/>
    <n v="3"/>
    <x v="3"/>
    <n v="15"/>
    <n v="13"/>
    <x v="0"/>
    <x v="0"/>
    <n v="4"/>
    <x v="4"/>
    <x v="1"/>
    <n v="38.200000000000003"/>
    <n v="1"/>
    <n v="0.59699999999999998"/>
    <n v="0.59099999999999997"/>
    <n v="8.5999999999999993E-2"/>
    <x v="40"/>
    <n v="0.21"/>
    <n v="0.57499999999999996"/>
    <x v="8"/>
    <x v="10"/>
    <n v="0.10400000000000001"/>
    <n v="0.41399999999999998"/>
    <n v="120"/>
    <x v="4"/>
    <n v="38.200000000000003"/>
    <n v="17.899999999999999"/>
  </r>
  <r>
    <x v="67"/>
    <n v="743"/>
    <n v="80"/>
    <d v="2025-04-09T00:00:00"/>
    <s v="DEN"/>
    <s v="@"/>
    <s v="SAC"/>
    <x v="78"/>
    <n v="124"/>
    <n v="116"/>
    <x v="1"/>
    <n v="48"/>
    <n v="32"/>
    <s v="*"/>
    <d v="1899-12-31T13:42:00"/>
    <n v="5"/>
    <n v="12"/>
    <n v="0.41699999999999998"/>
    <n v="0"/>
    <n v="1"/>
    <n v="0"/>
    <n v="5"/>
    <n v="11"/>
    <n v="0.45500000000000002"/>
    <n v="0.41699999999999998"/>
    <n v="10"/>
    <n v="10"/>
    <n v="1"/>
    <n v="3"/>
    <x v="5"/>
    <n v="12"/>
    <n v="11"/>
    <x v="6"/>
    <x v="2"/>
    <n v="1"/>
    <x v="1"/>
    <x v="17"/>
    <n v="28.3"/>
    <n v="9"/>
    <n v="0.61"/>
    <n v="0.41699999999999998"/>
    <n v="9.3000000000000013E-2"/>
    <x v="57"/>
    <n v="0.18"/>
    <n v="0.38200000000000001"/>
    <x v="31"/>
    <x v="5"/>
    <n v="5.7000000000000002E-2"/>
    <n v="0.20800000000000002"/>
    <n v="152"/>
    <x v="1"/>
    <n v="28.3"/>
    <n v="13.3"/>
  </r>
  <r>
    <x v="68"/>
    <n v="744"/>
    <n v="81"/>
    <d v="2025-04-11T00:00:00"/>
    <s v="DEN"/>
    <m/>
    <s v="MEM"/>
    <x v="79"/>
    <n v="117"/>
    <n v="109"/>
    <x v="1"/>
    <n v="49"/>
    <n v="32"/>
    <s v="*"/>
    <d v="1899-12-31T16:55:00"/>
    <n v="11"/>
    <n v="19"/>
    <n v="0.57899999999999996"/>
    <n v="1"/>
    <n v="2"/>
    <n v="0.5"/>
    <n v="10"/>
    <n v="17"/>
    <n v="0.58799999999999997"/>
    <n v="0.60499999999999998"/>
    <n v="3"/>
    <n v="7"/>
    <n v="0.42899999999999999"/>
    <n v="3"/>
    <x v="6"/>
    <n v="16"/>
    <n v="13"/>
    <x v="0"/>
    <x v="2"/>
    <n v="5"/>
    <x v="0"/>
    <x v="4"/>
    <n v="26.4"/>
    <n v="11"/>
    <n v="0.58899999999999997"/>
    <n v="0.60499999999999998"/>
    <n v="7.8E-2"/>
    <x v="58"/>
    <n v="0.20199999999999999"/>
    <n v="0.49"/>
    <x v="7"/>
    <x v="5"/>
    <n v="0.185"/>
    <n v="0.27"/>
    <n v="112"/>
    <x v="25"/>
    <n v="26.4"/>
    <n v="11"/>
  </r>
  <r>
    <x v="69"/>
    <n v="745"/>
    <n v="82"/>
    <d v="2025-04-13T00:00:00"/>
    <s v="DEN"/>
    <s v="@"/>
    <s v="HOU"/>
    <x v="80"/>
    <n v="126"/>
    <n v="111"/>
    <x v="1"/>
    <n v="50"/>
    <n v="32"/>
    <s v="*"/>
    <d v="1899-12-31T06:47:00"/>
    <n v="7"/>
    <n v="10"/>
    <n v="0.7"/>
    <n v="3"/>
    <n v="5"/>
    <n v="0.6"/>
    <n v="4"/>
    <n v="5"/>
    <n v="0.8"/>
    <n v="0.85"/>
    <n v="1"/>
    <n v="2"/>
    <n v="0.5"/>
    <n v="1"/>
    <x v="1"/>
    <n v="7"/>
    <n v="7"/>
    <x v="0"/>
    <x v="0"/>
    <n v="1"/>
    <x v="0"/>
    <x v="28"/>
    <n v="21.3"/>
    <n v="34"/>
    <n v="0.82699999999999996"/>
    <n v="0.85"/>
    <n v="3.9E-2"/>
    <x v="59"/>
    <n v="0.11900000000000001"/>
    <n v="0.32"/>
    <x v="25"/>
    <x v="10"/>
    <n v="8.4000000000000005E-2"/>
    <n v="0.16699999999999998"/>
    <n v="161"/>
    <x v="15"/>
    <n v="21.3"/>
    <n v="1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ED70C1-1EE1-6F45-BCB1-2902E9B1324C}" name="PivotTable4" cacheId="29"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3:C75" firstHeaderRow="1" firstDataRow="2" firstDataCol="1"/>
  <pivotFields count="53">
    <pivotField axis="axisRow"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pivotField showAll="0"/>
    <pivotField numFmtId="14" showAll="0"/>
    <pivotField showAll="0"/>
    <pivotField showAll="0"/>
    <pivotField showAll="0"/>
    <pivotField showAll="0">
      <items count="82">
        <item x="27"/>
        <item x="55"/>
        <item x="59"/>
        <item x="62"/>
        <item x="1"/>
        <item x="76"/>
        <item x="44"/>
        <item x="75"/>
        <item x="34"/>
        <item x="68"/>
        <item x="39"/>
        <item x="69"/>
        <item x="32"/>
        <item x="57"/>
        <item x="46"/>
        <item x="20"/>
        <item x="19"/>
        <item x="4"/>
        <item x="15"/>
        <item x="71"/>
        <item x="13"/>
        <item x="77"/>
        <item x="45"/>
        <item x="17"/>
        <item x="66"/>
        <item x="24"/>
        <item x="28"/>
        <item x="74"/>
        <item x="0"/>
        <item x="11"/>
        <item x="10"/>
        <item x="64"/>
        <item x="48"/>
        <item x="37"/>
        <item x="51"/>
        <item x="41"/>
        <item x="67"/>
        <item x="60"/>
        <item x="70"/>
        <item x="79"/>
        <item x="26"/>
        <item x="38"/>
        <item x="18"/>
        <item x="22"/>
        <item x="6"/>
        <item x="16"/>
        <item x="52"/>
        <item x="12"/>
        <item x="33"/>
        <item x="9"/>
        <item x="36"/>
        <item x="78"/>
        <item x="7"/>
        <item x="49"/>
        <item x="56"/>
        <item x="35"/>
        <item x="80"/>
        <item x="14"/>
        <item x="72"/>
        <item x="2"/>
        <item x="5"/>
        <item x="54"/>
        <item x="73"/>
        <item x="23"/>
        <item x="65"/>
        <item x="30"/>
        <item x="43"/>
        <item x="25"/>
        <item x="40"/>
        <item x="58"/>
        <item x="29"/>
        <item x="8"/>
        <item x="47"/>
        <item x="31"/>
        <item x="63"/>
        <item x="21"/>
        <item x="42"/>
        <item x="50"/>
        <item x="3"/>
        <item x="53"/>
        <item x="61"/>
        <item t="default"/>
      </items>
    </pivotField>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3">
        <item x="24"/>
        <item x="27"/>
        <item x="0"/>
        <item x="26"/>
        <item x="28"/>
        <item x="23"/>
        <item x="17"/>
        <item x="13"/>
        <item x="7"/>
        <item x="25"/>
        <item x="19"/>
        <item x="4"/>
        <item x="5"/>
        <item x="6"/>
        <item x="3"/>
        <item x="8"/>
        <item x="29"/>
        <item x="18"/>
        <item x="11"/>
        <item x="12"/>
        <item x="22"/>
        <item x="20"/>
        <item x="9"/>
        <item x="14"/>
        <item x="30"/>
        <item x="2"/>
        <item x="1"/>
        <item x="21"/>
        <item x="16"/>
        <item x="15"/>
        <item x="31"/>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t="grand">
      <x/>
    </i>
  </rowItems>
  <colFields count="1">
    <field x="10"/>
  </colFields>
  <colItems count="2">
    <i>
      <x/>
    </i>
    <i>
      <x v="1"/>
    </i>
  </colItems>
  <dataFields count="1">
    <dataField name="Sum of PTS" fld="3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CF664-4628-DB47-8FC7-73E4CC4C7D2F}">
  <dimension ref="A2:H29"/>
  <sheetViews>
    <sheetView showGridLines="0" topLeftCell="A2" zoomScale="182" workbookViewId="0">
      <selection activeCell="L31" sqref="L31"/>
    </sheetView>
  </sheetViews>
  <sheetFormatPr baseColWidth="10" defaultRowHeight="16" x14ac:dyDescent="0.2"/>
  <cols>
    <col min="1" max="1" width="2.7109375" customWidth="1"/>
    <col min="2" max="2" width="23.85546875" bestFit="1" customWidth="1"/>
  </cols>
  <sheetData>
    <row r="2" spans="2:8" ht="35" x14ac:dyDescent="0.35">
      <c r="B2" s="73" t="s">
        <v>247</v>
      </c>
      <c r="C2" s="74"/>
      <c r="D2" s="74"/>
      <c r="E2" s="74"/>
      <c r="F2" s="74"/>
      <c r="G2" s="74"/>
      <c r="H2" s="74"/>
    </row>
    <row r="3" spans="2:8" ht="21" x14ac:dyDescent="0.25">
      <c r="B3" s="75" t="s">
        <v>248</v>
      </c>
      <c r="C3" s="74"/>
      <c r="D3" s="74"/>
      <c r="E3" s="74"/>
      <c r="F3" s="74"/>
      <c r="G3" s="74"/>
      <c r="H3" s="74"/>
    </row>
    <row r="10" spans="2:8" x14ac:dyDescent="0.2">
      <c r="B10" s="71"/>
    </row>
    <row r="27" spans="1:8" x14ac:dyDescent="0.2">
      <c r="B27" s="76" t="s">
        <v>244</v>
      </c>
      <c r="C27" s="74"/>
      <c r="D27" s="74"/>
      <c r="E27" s="74"/>
      <c r="F27" s="74"/>
      <c r="G27" s="74"/>
      <c r="H27" s="74"/>
    </row>
    <row r="28" spans="1:8" x14ac:dyDescent="0.2">
      <c r="B28" s="77">
        <v>46009</v>
      </c>
      <c r="C28" s="74"/>
      <c r="D28" s="74"/>
      <c r="E28" s="74"/>
      <c r="F28" s="74"/>
      <c r="G28" s="74"/>
      <c r="H28" s="74"/>
    </row>
    <row r="29" spans="1:8" ht="17" thickBot="1" x14ac:dyDescent="0.25">
      <c r="A29" s="72"/>
      <c r="B29" s="78" t="s">
        <v>243</v>
      </c>
      <c r="C29" s="79"/>
      <c r="D29" s="79"/>
      <c r="E29" s="79"/>
      <c r="F29" s="79"/>
      <c r="G29" s="79"/>
      <c r="H29" s="79"/>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84C1D-4D23-B344-A1E4-0612AF5FF3F9}">
  <dimension ref="A1"/>
  <sheetViews>
    <sheetView showGridLines="0" zoomScale="162" zoomScaleNormal="100" workbookViewId="0">
      <selection activeCell="O34" sqref="O34"/>
    </sheetView>
  </sheetViews>
  <sheetFormatPr baseColWidth="10" defaultRowHeight="16" x14ac:dyDescent="0.2"/>
  <cols>
    <col min="1" max="1" width="2.7109375" customWidth="1"/>
  </cols>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DDD40-6AD8-1F43-9A40-4F65D44DE99F}">
  <dimension ref="B2:AP16"/>
  <sheetViews>
    <sheetView showGridLines="0" zoomScale="150" zoomScaleNormal="150" workbookViewId="0">
      <selection activeCell="M38" sqref="M38"/>
    </sheetView>
  </sheetViews>
  <sheetFormatPr baseColWidth="10" defaultRowHeight="16" x14ac:dyDescent="0.2"/>
  <cols>
    <col min="1" max="1" width="2.7109375" customWidth="1"/>
    <col min="2" max="2" width="13.5703125" bestFit="1" customWidth="1"/>
  </cols>
  <sheetData>
    <row r="2" spans="2:42" x14ac:dyDescent="0.2">
      <c r="B2" s="83" t="s">
        <v>245</v>
      </c>
      <c r="C2" s="85"/>
      <c r="D2" s="85" t="s">
        <v>137</v>
      </c>
      <c r="E2" s="85" t="s">
        <v>136</v>
      </c>
      <c r="F2" s="96" t="s">
        <v>135</v>
      </c>
      <c r="G2" s="85" t="s">
        <v>134</v>
      </c>
      <c r="H2" s="85" t="s">
        <v>133</v>
      </c>
      <c r="I2" s="85" t="s">
        <v>131</v>
      </c>
      <c r="J2" s="85" t="s">
        <v>130</v>
      </c>
      <c r="K2" s="85" t="s">
        <v>127</v>
      </c>
      <c r="L2" s="85" t="s">
        <v>126</v>
      </c>
      <c r="M2" s="97" t="s">
        <v>125</v>
      </c>
    </row>
    <row r="3" spans="2:42" x14ac:dyDescent="0.2">
      <c r="B3" s="87" t="s">
        <v>165</v>
      </c>
      <c r="C3" s="94"/>
      <c r="D3" s="88">
        <v>-3</v>
      </c>
      <c r="E3" s="88">
        <v>-4</v>
      </c>
      <c r="F3" s="98">
        <v>3.3000000000000029E-2</v>
      </c>
      <c r="G3" s="88">
        <v>-1</v>
      </c>
      <c r="H3" s="88">
        <v>2</v>
      </c>
      <c r="I3" s="88">
        <v>-3</v>
      </c>
      <c r="J3" s="88">
        <v>-6</v>
      </c>
      <c r="K3" s="88">
        <v>-7</v>
      </c>
      <c r="L3" s="88">
        <v>-7</v>
      </c>
      <c r="M3" s="99">
        <v>0</v>
      </c>
    </row>
    <row r="4" spans="2:42" x14ac:dyDescent="0.2">
      <c r="B4" s="87" t="s">
        <v>166</v>
      </c>
      <c r="C4" s="94"/>
      <c r="D4" s="88">
        <v>2</v>
      </c>
      <c r="E4" s="88">
        <v>0</v>
      </c>
      <c r="F4" s="98">
        <v>0.13100000000000001</v>
      </c>
      <c r="G4" s="88">
        <v>0</v>
      </c>
      <c r="H4" s="88">
        <v>-1</v>
      </c>
      <c r="I4" s="88">
        <v>1</v>
      </c>
      <c r="J4" s="88">
        <v>-1</v>
      </c>
      <c r="K4" s="88">
        <v>0</v>
      </c>
      <c r="L4" s="88">
        <v>0</v>
      </c>
      <c r="M4" s="99">
        <v>0.42899999999999999</v>
      </c>
    </row>
    <row r="5" spans="2:42" x14ac:dyDescent="0.2">
      <c r="B5" s="90" t="s">
        <v>168</v>
      </c>
      <c r="C5" s="95"/>
      <c r="D5" s="92">
        <v>-1.2373188405797091</v>
      </c>
      <c r="E5" s="92">
        <v>-3.3188405797101446</v>
      </c>
      <c r="F5" s="100">
        <v>4.2201086956521805E-2</v>
      </c>
      <c r="G5" s="92">
        <v>-0.48731884057970998</v>
      </c>
      <c r="H5" s="92">
        <v>-1.8713768115942022</v>
      </c>
      <c r="I5" s="92">
        <v>-0.75</v>
      </c>
      <c r="J5" s="92">
        <v>-1.4474637681159432</v>
      </c>
      <c r="K5" s="92">
        <v>0.87318840579710155</v>
      </c>
      <c r="L5" s="92">
        <v>0.73731884057971087</v>
      </c>
      <c r="M5" s="101">
        <v>2.5609661835748754E-2</v>
      </c>
    </row>
    <row r="6" spans="2:42" x14ac:dyDescent="0.2">
      <c r="B6" s="80"/>
      <c r="C6" s="80"/>
      <c r="D6" s="82"/>
      <c r="E6" s="59"/>
      <c r="F6" s="59"/>
      <c r="G6" s="80"/>
      <c r="H6" s="59"/>
      <c r="I6" s="59"/>
      <c r="J6" s="80"/>
      <c r="K6" s="59"/>
      <c r="L6" s="59"/>
      <c r="M6" s="80"/>
      <c r="N6" s="80"/>
      <c r="O6" s="59"/>
      <c r="P6" s="59"/>
      <c r="Q6" s="80"/>
      <c r="R6" s="59"/>
      <c r="S6" s="59"/>
      <c r="T6" s="59"/>
      <c r="U6" s="59"/>
      <c r="V6" s="59"/>
      <c r="W6" s="59"/>
      <c r="X6" s="59"/>
      <c r="Y6" s="59"/>
      <c r="Z6" s="59"/>
      <c r="AA6" s="59"/>
      <c r="AB6" s="59"/>
      <c r="AC6" s="80"/>
      <c r="AD6" s="80"/>
      <c r="AE6" s="80"/>
      <c r="AF6" s="80"/>
      <c r="AG6" s="80"/>
      <c r="AH6" s="80"/>
      <c r="AI6" s="80"/>
      <c r="AJ6" s="80"/>
      <c r="AK6" s="80"/>
      <c r="AL6" s="80"/>
      <c r="AM6" s="59"/>
      <c r="AN6" s="59"/>
      <c r="AO6" s="81"/>
      <c r="AP6" s="81"/>
    </row>
    <row r="8" spans="2:42" x14ac:dyDescent="0.2">
      <c r="B8" s="83" t="s">
        <v>245</v>
      </c>
      <c r="C8" s="85"/>
      <c r="D8" s="85" t="s">
        <v>124</v>
      </c>
      <c r="E8" s="85" t="s">
        <v>123</v>
      </c>
      <c r="F8" s="85" t="s">
        <v>122</v>
      </c>
      <c r="G8" s="85" t="s">
        <v>121</v>
      </c>
      <c r="H8" s="85" t="s">
        <v>120</v>
      </c>
      <c r="I8" s="85" t="s">
        <v>119</v>
      </c>
      <c r="J8" s="85" t="s">
        <v>118</v>
      </c>
      <c r="K8" s="85" t="s">
        <v>117</v>
      </c>
      <c r="L8" s="86" t="s">
        <v>116</v>
      </c>
    </row>
    <row r="9" spans="2:42" x14ac:dyDescent="0.2">
      <c r="B9" s="87" t="s">
        <v>165</v>
      </c>
      <c r="C9" s="94"/>
      <c r="D9" s="88">
        <v>1</v>
      </c>
      <c r="E9" s="88">
        <v>2</v>
      </c>
      <c r="F9" s="88">
        <v>2</v>
      </c>
      <c r="G9" s="88">
        <v>8</v>
      </c>
      <c r="H9" s="88">
        <v>2</v>
      </c>
      <c r="I9" s="88">
        <v>0</v>
      </c>
      <c r="J9" s="88">
        <v>0</v>
      </c>
      <c r="K9" s="88">
        <v>0</v>
      </c>
      <c r="L9" s="89">
        <v>-13</v>
      </c>
    </row>
    <row r="10" spans="2:42" x14ac:dyDescent="0.2">
      <c r="B10" s="87" t="s">
        <v>166</v>
      </c>
      <c r="C10" s="94"/>
      <c r="D10" s="88">
        <v>0</v>
      </c>
      <c r="E10" s="88">
        <v>0</v>
      </c>
      <c r="F10" s="88">
        <v>-1</v>
      </c>
      <c r="G10" s="88">
        <v>0</v>
      </c>
      <c r="H10" s="88">
        <v>0</v>
      </c>
      <c r="I10" s="88">
        <v>0</v>
      </c>
      <c r="J10" s="88">
        <v>1</v>
      </c>
      <c r="K10" s="88">
        <v>0</v>
      </c>
      <c r="L10" s="89">
        <v>-2</v>
      </c>
    </row>
    <row r="11" spans="2:42" x14ac:dyDescent="0.2">
      <c r="B11" s="90" t="s">
        <v>168</v>
      </c>
      <c r="C11" s="95"/>
      <c r="D11" s="92">
        <v>-2.7173913043478048E-2</v>
      </c>
      <c r="E11" s="92">
        <v>1.0307971014492754</v>
      </c>
      <c r="F11" s="92">
        <v>1.0036231884057969</v>
      </c>
      <c r="G11" s="92">
        <v>1.4257246376811601</v>
      </c>
      <c r="H11" s="92">
        <v>0.41485507246376807</v>
      </c>
      <c r="I11" s="92">
        <v>0.21739130434782605</v>
      </c>
      <c r="J11" s="92">
        <v>-0.26268115942029002</v>
      </c>
      <c r="K11" s="92">
        <v>-7.2463768115942351E-2</v>
      </c>
      <c r="L11" s="93">
        <v>-2.0887681159420275</v>
      </c>
    </row>
    <row r="13" spans="2:42" x14ac:dyDescent="0.2">
      <c r="B13" s="83" t="s">
        <v>245</v>
      </c>
      <c r="C13" s="84" t="s">
        <v>114</v>
      </c>
      <c r="D13" s="85" t="s">
        <v>147</v>
      </c>
      <c r="E13" s="86" t="s">
        <v>146</v>
      </c>
    </row>
    <row r="14" spans="2:42" x14ac:dyDescent="0.2">
      <c r="B14" s="87" t="s">
        <v>165</v>
      </c>
      <c r="C14" s="88">
        <v>32</v>
      </c>
      <c r="D14" s="88">
        <v>26</v>
      </c>
      <c r="E14" s="89">
        <v>-11</v>
      </c>
    </row>
    <row r="15" spans="2:42" x14ac:dyDescent="0.2">
      <c r="B15" s="87" t="s">
        <v>166</v>
      </c>
      <c r="C15" s="88">
        <v>17</v>
      </c>
      <c r="D15" s="88">
        <v>-7</v>
      </c>
      <c r="E15" s="89">
        <v>-19</v>
      </c>
    </row>
    <row r="16" spans="2:42" x14ac:dyDescent="0.2">
      <c r="B16" s="90" t="s">
        <v>168</v>
      </c>
      <c r="C16" s="91">
        <v>20.394927536231883</v>
      </c>
      <c r="D16" s="92">
        <v>14.02717391304347</v>
      </c>
      <c r="E16" s="93">
        <v>-12.958333333333329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664A2-D4FB-A54F-A1CB-9F10972A4DF3}">
  <dimension ref="A1"/>
  <sheetViews>
    <sheetView showGridLines="0" zoomScale="163" workbookViewId="0">
      <selection activeCell="L36" sqref="L36"/>
    </sheetView>
  </sheetViews>
  <sheetFormatPr baseColWidth="10" defaultRowHeight="16" x14ac:dyDescent="0.2"/>
  <cols>
    <col min="1" max="1" width="2.7109375" customWidth="1"/>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381DE-1A37-474E-8699-1BA5FFC1B050}">
  <dimension ref="A1"/>
  <sheetViews>
    <sheetView showGridLines="0" zoomScale="169" workbookViewId="0">
      <selection activeCell="N34" sqref="N34"/>
    </sheetView>
  </sheetViews>
  <sheetFormatPr baseColWidth="10" defaultRowHeight="16" x14ac:dyDescent="0.2"/>
  <cols>
    <col min="1" max="1" width="2.7109375" customWidth="1"/>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BFDAF-3CD7-C24A-9140-4DD415A81943}">
  <dimension ref="A1"/>
  <sheetViews>
    <sheetView showGridLines="0" zoomScale="164" workbookViewId="0">
      <selection activeCell="O35" sqref="O35"/>
    </sheetView>
  </sheetViews>
  <sheetFormatPr baseColWidth="10" defaultRowHeight="16" x14ac:dyDescent="0.2"/>
  <cols>
    <col min="1" max="1" width="2.7109375" customWidth="1"/>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E7586-99D3-8449-A127-1DB2271FF33A}">
  <dimension ref="B2:C15"/>
  <sheetViews>
    <sheetView zoomScale="190" workbookViewId="0">
      <selection activeCell="B14" sqref="B14"/>
    </sheetView>
  </sheetViews>
  <sheetFormatPr baseColWidth="10" defaultRowHeight="16" x14ac:dyDescent="0.2"/>
  <cols>
    <col min="1" max="1" width="2.7109375" customWidth="1"/>
  </cols>
  <sheetData>
    <row r="2" spans="2:3" x14ac:dyDescent="0.2">
      <c r="B2" t="s">
        <v>246</v>
      </c>
    </row>
    <row r="4" spans="2:3" x14ac:dyDescent="0.2">
      <c r="B4" t="s">
        <v>249</v>
      </c>
    </row>
    <row r="5" spans="2:3" x14ac:dyDescent="0.2">
      <c r="B5" t="s">
        <v>250</v>
      </c>
    </row>
    <row r="6" spans="2:3" x14ac:dyDescent="0.2">
      <c r="B6" t="s">
        <v>251</v>
      </c>
    </row>
    <row r="7" spans="2:3" x14ac:dyDescent="0.2">
      <c r="C7" t="s">
        <v>252</v>
      </c>
    </row>
    <row r="8" spans="2:3" x14ac:dyDescent="0.2">
      <c r="C8" t="s">
        <v>253</v>
      </c>
    </row>
    <row r="9" spans="2:3" x14ac:dyDescent="0.2">
      <c r="C9" t="s">
        <v>257</v>
      </c>
    </row>
    <row r="10" spans="2:3" x14ac:dyDescent="0.2">
      <c r="C10" t="s">
        <v>258</v>
      </c>
    </row>
    <row r="11" spans="2:3" x14ac:dyDescent="0.2">
      <c r="C11" t="s">
        <v>259</v>
      </c>
    </row>
    <row r="12" spans="2:3" x14ac:dyDescent="0.2">
      <c r="B12" t="s">
        <v>254</v>
      </c>
    </row>
    <row r="13" spans="2:3" x14ac:dyDescent="0.2">
      <c r="B13" t="s">
        <v>260</v>
      </c>
    </row>
    <row r="14" spans="2:3" x14ac:dyDescent="0.2">
      <c r="B14" t="s">
        <v>255</v>
      </c>
    </row>
    <row r="15" spans="2:3" x14ac:dyDescent="0.2">
      <c r="B15" t="s">
        <v>256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CD4C5-0422-9244-BCF7-EAF3C4BFEDCD}">
  <dimension ref="B1:BB114"/>
  <sheetViews>
    <sheetView zoomScale="58" zoomScaleNormal="125" workbookViewId="0">
      <pane xSplit="2" ySplit="1" topLeftCell="C2" activePane="bottomRight" state="frozen"/>
      <selection pane="topRight" activeCell="C1" sqref="C1"/>
      <selection pane="bottomLeft" activeCell="A2" sqref="A2"/>
      <selection pane="bottomRight" activeCell="BE22" sqref="BE22"/>
    </sheetView>
  </sheetViews>
  <sheetFormatPr baseColWidth="10" defaultColWidth="8.7109375" defaultRowHeight="15" outlineLevelCol="1" x14ac:dyDescent="0.2"/>
  <cols>
    <col min="1" max="1" width="2.7109375" style="11" customWidth="1"/>
    <col min="2" max="2" width="12.28515625" style="11" bestFit="1" customWidth="1"/>
    <col min="3" max="3" width="3.5703125" style="11" customWidth="1" outlineLevel="1"/>
    <col min="4" max="4" width="6.42578125" style="11" bestFit="1" customWidth="1" outlineLevel="1"/>
    <col min="5" max="5" width="7.28515625" style="11" bestFit="1" customWidth="1" outlineLevel="1"/>
    <col min="6" max="6" width="3.7109375" style="11" customWidth="1" outlineLevel="1"/>
    <col min="7" max="7" width="8.5703125" style="11" customWidth="1" outlineLevel="1"/>
    <col min="8" max="8" width="4.42578125" style="11" bestFit="1" customWidth="1" outlineLevel="1"/>
    <col min="9" max="9" width="11.7109375" style="11" bestFit="1" customWidth="1" outlineLevel="1"/>
    <col min="10" max="11" width="5.7109375" style="11" bestFit="1" customWidth="1" outlineLevel="1"/>
    <col min="12" max="12" width="3.85546875" style="11" bestFit="1" customWidth="1"/>
    <col min="13" max="13" width="5.28515625" style="11" bestFit="1" customWidth="1"/>
    <col min="14" max="14" width="6" style="11" bestFit="1" customWidth="1"/>
    <col min="15" max="15" width="6.140625" style="11" bestFit="1" customWidth="1"/>
    <col min="16" max="16" width="8" style="11" bestFit="1" customWidth="1"/>
    <col min="17" max="17" width="4.42578125" style="13" customWidth="1"/>
    <col min="18" max="18" width="5.42578125" style="13" customWidth="1"/>
    <col min="19" max="19" width="6.85546875" style="14" customWidth="1"/>
    <col min="20" max="20" width="4.140625" style="13" bestFit="1" customWidth="1"/>
    <col min="21" max="21" width="4.42578125" style="13" customWidth="1"/>
    <col min="22" max="22" width="6.85546875" style="14" customWidth="1"/>
    <col min="23" max="23" width="4.42578125" style="13" customWidth="1"/>
    <col min="24" max="24" width="5.42578125" style="13" customWidth="1"/>
    <col min="25" max="26" width="6.85546875" style="14" customWidth="1"/>
    <col min="27" max="28" width="4.42578125" style="13" customWidth="1"/>
    <col min="29" max="29" width="6.85546875" style="14" customWidth="1"/>
    <col min="30" max="30" width="4.42578125" style="13" customWidth="1" collapsed="1"/>
    <col min="31" max="33" width="4.42578125" style="13" customWidth="1"/>
    <col min="34" max="34" width="4.140625" style="13" bestFit="1" customWidth="1"/>
    <col min="35" max="35" width="3.7109375" style="13" customWidth="1"/>
    <col min="36" max="37" width="4.42578125" style="13" customWidth="1"/>
    <col min="38" max="38" width="5.7109375" style="13" customWidth="1"/>
    <col min="39" max="39" width="6.140625" style="11" bestFit="1" customWidth="1"/>
    <col min="40" max="40" width="4.85546875" style="11" bestFit="1" customWidth="1"/>
    <col min="41" max="42" width="6.85546875" style="14" customWidth="1" outlineLevel="1"/>
    <col min="43" max="43" width="6" style="14" customWidth="1" outlineLevel="1"/>
    <col min="44" max="44" width="6.85546875" style="14" customWidth="1" outlineLevel="1"/>
    <col min="45" max="45" width="6" style="14" customWidth="1" outlineLevel="1"/>
    <col min="46" max="46" width="6.85546875" style="14" customWidth="1" outlineLevel="1"/>
    <col min="47" max="47" width="6" style="14" customWidth="1" outlineLevel="1"/>
    <col min="48" max="48" width="5.140625" style="14" customWidth="1" outlineLevel="1"/>
    <col min="49" max="49" width="6" style="14" customWidth="1" outlineLevel="1"/>
    <col min="50" max="50" width="6.85546875" style="14" customWidth="1" outlineLevel="1"/>
    <col min="51" max="52" width="5.7109375" style="13" customWidth="1" outlineLevel="1"/>
    <col min="53" max="53" width="7" style="18" customWidth="1" outlineLevel="1"/>
    <col min="54" max="54" width="5.7109375" style="18" customWidth="1" outlineLevel="1"/>
    <col min="55" max="16384" width="8.7109375" style="11"/>
  </cols>
  <sheetData>
    <row r="1" spans="2:54" s="65" customFormat="1" ht="32" x14ac:dyDescent="0.2">
      <c r="B1" s="61" t="s">
        <v>160</v>
      </c>
      <c r="C1" s="61" t="s">
        <v>144</v>
      </c>
      <c r="D1" s="61" t="s">
        <v>161</v>
      </c>
      <c r="E1" s="61" t="s">
        <v>143</v>
      </c>
      <c r="F1" s="61" t="s">
        <v>142</v>
      </c>
      <c r="G1" s="61" t="s">
        <v>159</v>
      </c>
      <c r="H1" s="61" t="s">
        <v>141</v>
      </c>
      <c r="I1" s="61" t="s">
        <v>140</v>
      </c>
      <c r="J1" s="61" t="s">
        <v>209</v>
      </c>
      <c r="K1" s="61" t="s">
        <v>210</v>
      </c>
      <c r="L1" s="61" t="s">
        <v>162</v>
      </c>
      <c r="M1" s="61" t="s">
        <v>163</v>
      </c>
      <c r="N1" s="61" t="s">
        <v>164</v>
      </c>
      <c r="O1" s="61" t="s">
        <v>139</v>
      </c>
      <c r="P1" s="61" t="s">
        <v>138</v>
      </c>
      <c r="Q1" s="62" t="s">
        <v>137</v>
      </c>
      <c r="R1" s="62" t="s">
        <v>136</v>
      </c>
      <c r="S1" s="63" t="s">
        <v>135</v>
      </c>
      <c r="T1" s="62" t="s">
        <v>134</v>
      </c>
      <c r="U1" s="62" t="s">
        <v>133</v>
      </c>
      <c r="V1" s="63" t="s">
        <v>132</v>
      </c>
      <c r="W1" s="62" t="s">
        <v>131</v>
      </c>
      <c r="X1" s="62" t="s">
        <v>130</v>
      </c>
      <c r="Y1" s="63" t="s">
        <v>129</v>
      </c>
      <c r="Z1" s="63" t="s">
        <v>128</v>
      </c>
      <c r="AA1" s="62" t="s">
        <v>127</v>
      </c>
      <c r="AB1" s="62" t="s">
        <v>126</v>
      </c>
      <c r="AC1" s="63" t="s">
        <v>125</v>
      </c>
      <c r="AD1" s="62" t="s">
        <v>124</v>
      </c>
      <c r="AE1" s="62" t="s">
        <v>123</v>
      </c>
      <c r="AF1" s="62" t="s">
        <v>122</v>
      </c>
      <c r="AG1" s="62" t="s">
        <v>121</v>
      </c>
      <c r="AH1" s="62" t="s">
        <v>120</v>
      </c>
      <c r="AI1" s="62" t="s">
        <v>119</v>
      </c>
      <c r="AJ1" s="62" t="s">
        <v>118</v>
      </c>
      <c r="AK1" s="62" t="s">
        <v>117</v>
      </c>
      <c r="AL1" s="62" t="s">
        <v>116</v>
      </c>
      <c r="AM1" s="61" t="s">
        <v>115</v>
      </c>
      <c r="AN1" s="61" t="s">
        <v>114</v>
      </c>
      <c r="AO1" s="63" t="s">
        <v>156</v>
      </c>
      <c r="AP1" s="63" t="s">
        <v>157</v>
      </c>
      <c r="AQ1" s="63" t="s">
        <v>155</v>
      </c>
      <c r="AR1" s="63" t="s">
        <v>154</v>
      </c>
      <c r="AS1" s="63" t="s">
        <v>153</v>
      </c>
      <c r="AT1" s="63" t="s">
        <v>152</v>
      </c>
      <c r="AU1" s="63" t="s">
        <v>151</v>
      </c>
      <c r="AV1" s="63" t="s">
        <v>150</v>
      </c>
      <c r="AW1" s="63" t="s">
        <v>149</v>
      </c>
      <c r="AX1" s="63" t="s">
        <v>148</v>
      </c>
      <c r="AY1" s="62" t="s">
        <v>147</v>
      </c>
      <c r="AZ1" s="62" t="s">
        <v>146</v>
      </c>
      <c r="BA1" s="64" t="s">
        <v>158</v>
      </c>
      <c r="BB1" s="64" t="s">
        <v>145</v>
      </c>
    </row>
    <row r="2" spans="2:54" ht="16" x14ac:dyDescent="0.2">
      <c r="B2" s="1">
        <v>1</v>
      </c>
      <c r="C2" s="2">
        <v>676</v>
      </c>
      <c r="D2" s="2">
        <v>1</v>
      </c>
      <c r="E2" s="3">
        <v>45589</v>
      </c>
      <c r="F2" s="2" t="s">
        <v>4</v>
      </c>
      <c r="G2" s="2"/>
      <c r="H2" s="2" t="s">
        <v>35</v>
      </c>
      <c r="I2" s="2" t="s">
        <v>113</v>
      </c>
      <c r="J2" s="11">
        <f>(_xlfn.TEXTBEFORE(_xlfn.TEXTAFTER($I2,", ",,1),"-",,1,1,))*1</f>
        <v>87</v>
      </c>
      <c r="K2" s="11">
        <f>(_xlfn.TEXTBEFORE(_xlfn.TEXTAFTER($I2,"-",,1)," ",,1,1,))*1</f>
        <v>102</v>
      </c>
      <c r="L2" s="2" t="str">
        <f>LEFT('    #StatsTable'!$I2,1)</f>
        <v>L</v>
      </c>
      <c r="M2" s="2">
        <v>0</v>
      </c>
      <c r="N2" s="2">
        <v>1</v>
      </c>
      <c r="O2" s="2" t="s">
        <v>0</v>
      </c>
      <c r="P2" s="4">
        <v>1.4666666666666666</v>
      </c>
      <c r="Q2" s="28">
        <v>6</v>
      </c>
      <c r="R2" s="28">
        <v>13</v>
      </c>
      <c r="S2" s="15">
        <v>0.46200000000000002</v>
      </c>
      <c r="T2" s="28">
        <v>1</v>
      </c>
      <c r="U2" s="28">
        <v>3</v>
      </c>
      <c r="V2" s="15">
        <v>0.33300000000000002</v>
      </c>
      <c r="W2" s="28">
        <v>5</v>
      </c>
      <c r="X2" s="28">
        <v>10</v>
      </c>
      <c r="Y2" s="15">
        <v>0.5</v>
      </c>
      <c r="Z2" s="15">
        <v>0.5</v>
      </c>
      <c r="AA2" s="28">
        <v>3</v>
      </c>
      <c r="AB2" s="28">
        <v>4</v>
      </c>
      <c r="AC2" s="15">
        <v>0.75</v>
      </c>
      <c r="AD2" s="28">
        <v>4</v>
      </c>
      <c r="AE2" s="28">
        <v>8</v>
      </c>
      <c r="AF2" s="28">
        <v>12</v>
      </c>
      <c r="AG2" s="28">
        <v>13</v>
      </c>
      <c r="AH2" s="28">
        <v>2</v>
      </c>
      <c r="AI2" s="28">
        <v>1</v>
      </c>
      <c r="AJ2" s="28">
        <v>3</v>
      </c>
      <c r="AK2" s="28">
        <v>3</v>
      </c>
      <c r="AL2" s="28">
        <v>16</v>
      </c>
      <c r="AM2" s="2">
        <v>21.7</v>
      </c>
      <c r="AN2" s="2">
        <v>-9</v>
      </c>
      <c r="AO2" s="16">
        <v>0.54200000000000004</v>
      </c>
      <c r="AP2" s="16">
        <v>0.5</v>
      </c>
      <c r="AQ2" s="16">
        <v>0.10300000000000001</v>
      </c>
      <c r="AR2" s="16">
        <v>0.20600000000000002</v>
      </c>
      <c r="AS2" s="16">
        <v>0.154</v>
      </c>
      <c r="AT2" s="16">
        <v>0.66099999999999992</v>
      </c>
      <c r="AU2" s="16">
        <v>2.7000000000000003E-2</v>
      </c>
      <c r="AV2" s="16">
        <v>2.1000000000000001E-2</v>
      </c>
      <c r="AW2" s="16">
        <v>0.16899999999999998</v>
      </c>
      <c r="AX2" s="14">
        <v>0.20199999999999999</v>
      </c>
      <c r="AY2" s="19">
        <v>117</v>
      </c>
      <c r="AZ2" s="19">
        <v>99</v>
      </c>
      <c r="BA2" s="17">
        <v>21.7</v>
      </c>
      <c r="BB2" s="17">
        <v>14.3</v>
      </c>
    </row>
    <row r="3" spans="2:54" ht="16" x14ac:dyDescent="0.2">
      <c r="B3" s="1">
        <v>2</v>
      </c>
      <c r="C3" s="2">
        <v>677</v>
      </c>
      <c r="D3" s="2">
        <v>2</v>
      </c>
      <c r="E3" s="3">
        <v>45591</v>
      </c>
      <c r="F3" s="2" t="s">
        <v>4</v>
      </c>
      <c r="G3" s="2"/>
      <c r="H3" s="2" t="s">
        <v>76</v>
      </c>
      <c r="I3" s="2" t="s">
        <v>112</v>
      </c>
      <c r="J3" s="11">
        <f>(_xlfn.TEXTBEFORE(_xlfn.TEXTAFTER($I3,", ",,1),"-",,1,1,))*1</f>
        <v>104</v>
      </c>
      <c r="K3" s="11">
        <f>(_xlfn.TEXTBEFORE(_xlfn.TEXTAFTER($I3,"-",,1)," ",,1,1,))*1</f>
        <v>109</v>
      </c>
      <c r="L3" s="2" t="str">
        <f>LEFT('    #StatsTable'!$I3,1)</f>
        <v>L</v>
      </c>
      <c r="M3" s="2">
        <f>IF('    #StatsTable'!$L3="W", M2+1,M2)</f>
        <v>0</v>
      </c>
      <c r="N3" s="2">
        <f>IF('    #StatsTable'!$L3="L",N2+1,N2)</f>
        <v>2</v>
      </c>
      <c r="O3" s="2" t="s">
        <v>0</v>
      </c>
      <c r="P3" s="4">
        <v>1.5319444444444446</v>
      </c>
      <c r="Q3" s="28">
        <v>14</v>
      </c>
      <c r="R3" s="28">
        <v>26</v>
      </c>
      <c r="S3" s="15">
        <v>0.53800000000000003</v>
      </c>
      <c r="T3" s="28">
        <v>7</v>
      </c>
      <c r="U3" s="28">
        <v>12</v>
      </c>
      <c r="V3" s="15">
        <v>0.58299999999999996</v>
      </c>
      <c r="W3" s="28">
        <v>7</v>
      </c>
      <c r="X3" s="28">
        <v>14</v>
      </c>
      <c r="Y3" s="15">
        <v>0.5</v>
      </c>
      <c r="Z3" s="15">
        <v>0.67300000000000004</v>
      </c>
      <c r="AA3" s="28">
        <v>6</v>
      </c>
      <c r="AB3" s="28">
        <v>8</v>
      </c>
      <c r="AC3" s="15">
        <v>0.75</v>
      </c>
      <c r="AD3" s="28">
        <v>3</v>
      </c>
      <c r="AE3" s="28">
        <v>6</v>
      </c>
      <c r="AF3" s="28">
        <v>9</v>
      </c>
      <c r="AG3" s="28">
        <v>4</v>
      </c>
      <c r="AH3" s="28">
        <v>2</v>
      </c>
      <c r="AI3" s="28">
        <v>1</v>
      </c>
      <c r="AJ3" s="28">
        <v>5</v>
      </c>
      <c r="AK3" s="28">
        <v>2</v>
      </c>
      <c r="AL3" s="28">
        <v>41</v>
      </c>
      <c r="AM3" s="2">
        <v>31.2</v>
      </c>
      <c r="AN3" s="2">
        <v>7</v>
      </c>
      <c r="AO3" s="16">
        <v>0.69399999999999995</v>
      </c>
      <c r="AP3" s="16">
        <v>0.67300000000000004</v>
      </c>
      <c r="AQ3" s="16">
        <v>9.0999999999999998E-2</v>
      </c>
      <c r="AR3" s="16">
        <v>0.20600000000000002</v>
      </c>
      <c r="AS3" s="16">
        <v>0.14499999999999999</v>
      </c>
      <c r="AT3" s="16">
        <v>0.312</v>
      </c>
      <c r="AU3" s="16">
        <v>2.7999999999999997E-2</v>
      </c>
      <c r="AV3" s="16">
        <v>2.7000000000000003E-2</v>
      </c>
      <c r="AW3" s="16">
        <v>0.14499999999999999</v>
      </c>
      <c r="AX3" s="14">
        <v>0.41899999999999998</v>
      </c>
      <c r="AY3" s="19">
        <v>122</v>
      </c>
      <c r="AZ3" s="19">
        <v>114</v>
      </c>
      <c r="BA3" s="17">
        <v>31.2</v>
      </c>
      <c r="BB3" s="17">
        <v>18.899999999999999</v>
      </c>
    </row>
    <row r="4" spans="2:54" ht="16" x14ac:dyDescent="0.2">
      <c r="B4" s="1">
        <v>3</v>
      </c>
      <c r="C4" s="2">
        <v>678</v>
      </c>
      <c r="D4" s="2">
        <v>3</v>
      </c>
      <c r="E4" s="3">
        <v>45593</v>
      </c>
      <c r="F4" s="2" t="s">
        <v>4</v>
      </c>
      <c r="G4" s="2" t="s">
        <v>3</v>
      </c>
      <c r="H4" s="2" t="s">
        <v>107</v>
      </c>
      <c r="I4" s="2" t="s">
        <v>111</v>
      </c>
      <c r="J4" s="11">
        <f>(_xlfn.TEXTBEFORE(_xlfn.TEXTAFTER($I4,", ",,1),"-",,1,1,))*1</f>
        <v>127</v>
      </c>
      <c r="K4" s="11">
        <f>(_xlfn.TEXTBEFORE(_xlfn.TEXTAFTER($I4,"-",,1)," ",,1,1,))*1</f>
        <v>125</v>
      </c>
      <c r="L4" s="2" t="str">
        <f>LEFT('    #StatsTable'!$I4,1)</f>
        <v>W</v>
      </c>
      <c r="M4" s="2">
        <f>IF('    #StatsTable'!$L4="W", M3+1,M3)</f>
        <v>1</v>
      </c>
      <c r="N4" s="2">
        <f>IF('    #StatsTable'!$L4="L",N3+1,N3)</f>
        <v>2</v>
      </c>
      <c r="O4" s="2" t="s">
        <v>0</v>
      </c>
      <c r="P4" s="4">
        <v>1.820138888888889</v>
      </c>
      <c r="Q4" s="28">
        <v>18</v>
      </c>
      <c r="R4" s="28">
        <v>27</v>
      </c>
      <c r="S4" s="15">
        <v>0.66700000000000004</v>
      </c>
      <c r="T4" s="28">
        <v>3</v>
      </c>
      <c r="U4" s="28">
        <v>5</v>
      </c>
      <c r="V4" s="15">
        <v>0.6</v>
      </c>
      <c r="W4" s="28">
        <v>15</v>
      </c>
      <c r="X4" s="28">
        <v>22</v>
      </c>
      <c r="Y4" s="15">
        <v>0.68200000000000005</v>
      </c>
      <c r="Z4" s="15">
        <v>0.72199999999999998</v>
      </c>
      <c r="AA4" s="28">
        <v>1</v>
      </c>
      <c r="AB4" s="28">
        <v>2</v>
      </c>
      <c r="AC4" s="15">
        <v>0.5</v>
      </c>
      <c r="AD4" s="28">
        <v>3</v>
      </c>
      <c r="AE4" s="28">
        <v>7</v>
      </c>
      <c r="AF4" s="28">
        <v>10</v>
      </c>
      <c r="AG4" s="28">
        <v>4</v>
      </c>
      <c r="AH4" s="28">
        <v>1</v>
      </c>
      <c r="AI4" s="28">
        <v>2</v>
      </c>
      <c r="AJ4" s="28">
        <v>3</v>
      </c>
      <c r="AK4" s="28">
        <v>2</v>
      </c>
      <c r="AL4" s="28">
        <v>40</v>
      </c>
      <c r="AM4" s="2">
        <v>33.5</v>
      </c>
      <c r="AN4" s="2">
        <v>9</v>
      </c>
      <c r="AO4" s="16">
        <v>0.71699999999999997</v>
      </c>
      <c r="AP4" s="16">
        <v>0.72199999999999998</v>
      </c>
      <c r="AQ4" s="16">
        <v>7.0999999999999994E-2</v>
      </c>
      <c r="AR4" s="16">
        <v>0.154</v>
      </c>
      <c r="AS4" s="16">
        <v>0.114</v>
      </c>
      <c r="AT4" s="16">
        <v>0.193</v>
      </c>
      <c r="AU4" s="16">
        <v>1.1000000000000001E-2</v>
      </c>
      <c r="AV4" s="16">
        <v>3.3000000000000002E-2</v>
      </c>
      <c r="AW4" s="16">
        <v>9.6999999999999989E-2</v>
      </c>
      <c r="AX4" s="14">
        <v>0.29899999999999999</v>
      </c>
      <c r="AY4" s="19">
        <v>132</v>
      </c>
      <c r="AZ4" s="19">
        <v>112</v>
      </c>
      <c r="BA4" s="17">
        <v>33.5</v>
      </c>
      <c r="BB4" s="17">
        <v>12.2</v>
      </c>
    </row>
    <row r="5" spans="2:54" ht="16" x14ac:dyDescent="0.2">
      <c r="B5" s="1">
        <v>4</v>
      </c>
      <c r="C5" s="2">
        <v>679</v>
      </c>
      <c r="D5" s="2">
        <v>4</v>
      </c>
      <c r="E5" s="3">
        <v>45594</v>
      </c>
      <c r="F5" s="2" t="s">
        <v>4</v>
      </c>
      <c r="G5" s="2" t="s">
        <v>3</v>
      </c>
      <c r="H5" s="2" t="s">
        <v>74</v>
      </c>
      <c r="I5" s="2" t="s">
        <v>110</v>
      </c>
      <c r="J5" s="11">
        <f>(_xlfn.TEXTBEFORE(_xlfn.TEXTAFTER($I5,", ",,1),"-",,1,1,))*1</f>
        <v>144</v>
      </c>
      <c r="K5" s="11">
        <f>(_xlfn.TEXTBEFORE(_xlfn.TEXTAFTER($I5,"-",,1)," ",,1,1,))*1</f>
        <v>139</v>
      </c>
      <c r="L5" s="2" t="str">
        <f>LEFT('    #StatsTable'!$I5,1)</f>
        <v>W</v>
      </c>
      <c r="M5" s="2">
        <f>IF('    #StatsTable'!$L5="W", M4+1,M4)</f>
        <v>2</v>
      </c>
      <c r="N5" s="2">
        <f>IF('    #StatsTable'!$L5="L",N4+1,N4)</f>
        <v>2</v>
      </c>
      <c r="O5" s="2" t="s">
        <v>0</v>
      </c>
      <c r="P5" s="4">
        <v>1.6881944444444446</v>
      </c>
      <c r="Q5" s="28">
        <v>9</v>
      </c>
      <c r="R5" s="28">
        <v>16</v>
      </c>
      <c r="S5" s="15">
        <v>0.56299999999999994</v>
      </c>
      <c r="T5" s="28">
        <v>0</v>
      </c>
      <c r="U5" s="28">
        <v>0</v>
      </c>
      <c r="V5" s="15" t="s">
        <v>208</v>
      </c>
      <c r="W5" s="28">
        <v>9</v>
      </c>
      <c r="X5" s="28">
        <v>16</v>
      </c>
      <c r="Y5" s="15">
        <v>0.56299999999999994</v>
      </c>
      <c r="Z5" s="15">
        <v>0.56299999999999994</v>
      </c>
      <c r="AA5" s="28">
        <v>11</v>
      </c>
      <c r="AB5" s="28">
        <v>13</v>
      </c>
      <c r="AC5" s="15">
        <v>0.84599999999999997</v>
      </c>
      <c r="AD5" s="28">
        <v>6</v>
      </c>
      <c r="AE5" s="28">
        <v>12</v>
      </c>
      <c r="AF5" s="28">
        <v>18</v>
      </c>
      <c r="AG5" s="28">
        <v>16</v>
      </c>
      <c r="AH5" s="28">
        <v>0</v>
      </c>
      <c r="AI5" s="28">
        <v>1</v>
      </c>
      <c r="AJ5" s="28">
        <v>1</v>
      </c>
      <c r="AK5" s="28">
        <v>3</v>
      </c>
      <c r="AL5" s="28">
        <v>29</v>
      </c>
      <c r="AM5" s="2">
        <v>38.1</v>
      </c>
      <c r="AN5" s="2">
        <v>8</v>
      </c>
      <c r="AO5" s="16">
        <v>0.66800000000000004</v>
      </c>
      <c r="AP5" s="16">
        <v>0.56299999999999994</v>
      </c>
      <c r="AQ5" s="16">
        <v>0.183</v>
      </c>
      <c r="AR5" s="16">
        <v>0.38299999999999995</v>
      </c>
      <c r="AS5" s="16">
        <v>0.28000000000000003</v>
      </c>
      <c r="AT5" s="16">
        <v>0.61099999999999999</v>
      </c>
      <c r="AU5" s="16">
        <v>0</v>
      </c>
      <c r="AV5" s="16">
        <v>0.03</v>
      </c>
      <c r="AW5" s="16">
        <v>4.4000000000000004E-2</v>
      </c>
      <c r="AX5" s="14">
        <v>0.25900000000000001</v>
      </c>
      <c r="AY5" s="19">
        <v>162</v>
      </c>
      <c r="AZ5" s="19">
        <v>129</v>
      </c>
      <c r="BA5" s="17">
        <v>38.1</v>
      </c>
      <c r="BB5" s="17">
        <v>17</v>
      </c>
    </row>
    <row r="6" spans="2:54" ht="16" x14ac:dyDescent="0.2">
      <c r="B6" s="1">
        <v>5</v>
      </c>
      <c r="C6" s="2">
        <v>680</v>
      </c>
      <c r="D6" s="2">
        <v>5</v>
      </c>
      <c r="E6" s="3">
        <v>45597</v>
      </c>
      <c r="F6" s="2" t="s">
        <v>4</v>
      </c>
      <c r="G6" s="2" t="s">
        <v>3</v>
      </c>
      <c r="H6" s="2" t="s">
        <v>17</v>
      </c>
      <c r="I6" s="2" t="s">
        <v>109</v>
      </c>
      <c r="J6" s="11">
        <f>(_xlfn.TEXTBEFORE(_xlfn.TEXTAFTER($I6,", ",,1),"-",,1,1,))*1</f>
        <v>116</v>
      </c>
      <c r="K6" s="11">
        <f>(_xlfn.TEXTBEFORE(_xlfn.TEXTAFTER($I6,"-",,1)," ",,1,1,))*1</f>
        <v>119</v>
      </c>
      <c r="L6" s="2" t="str">
        <f>LEFT('    #StatsTable'!$I6,1)</f>
        <v>L</v>
      </c>
      <c r="M6" s="2">
        <f>IF('    #StatsTable'!$L6="W", M5+1,M5)</f>
        <v>2</v>
      </c>
      <c r="N6" s="2">
        <f>IF('    #StatsTable'!$L6="L",N5+1,N5)</f>
        <v>3</v>
      </c>
      <c r="O6" s="2" t="s">
        <v>0</v>
      </c>
      <c r="P6" s="4">
        <v>1.6541666666666666</v>
      </c>
      <c r="Q6" s="28">
        <v>8</v>
      </c>
      <c r="R6" s="28">
        <v>16</v>
      </c>
      <c r="S6" s="15">
        <v>0.5</v>
      </c>
      <c r="T6" s="28">
        <v>2</v>
      </c>
      <c r="U6" s="28">
        <v>3</v>
      </c>
      <c r="V6" s="15">
        <v>0.66700000000000004</v>
      </c>
      <c r="W6" s="28">
        <v>6</v>
      </c>
      <c r="X6" s="28">
        <v>13</v>
      </c>
      <c r="Y6" s="15">
        <v>0.46200000000000002</v>
      </c>
      <c r="Z6" s="15">
        <v>0.56299999999999994</v>
      </c>
      <c r="AA6" s="28">
        <v>8</v>
      </c>
      <c r="AB6" s="28">
        <v>10</v>
      </c>
      <c r="AC6" s="15">
        <v>0.8</v>
      </c>
      <c r="AD6" s="28">
        <v>2</v>
      </c>
      <c r="AE6" s="28">
        <v>7</v>
      </c>
      <c r="AF6" s="28">
        <v>9</v>
      </c>
      <c r="AG6" s="28">
        <v>13</v>
      </c>
      <c r="AH6" s="28">
        <v>3</v>
      </c>
      <c r="AI6" s="28">
        <v>1</v>
      </c>
      <c r="AJ6" s="28">
        <v>3</v>
      </c>
      <c r="AK6" s="28">
        <v>1</v>
      </c>
      <c r="AL6" s="28">
        <v>26</v>
      </c>
      <c r="AM6" s="2">
        <v>30.1</v>
      </c>
      <c r="AN6" s="2">
        <v>6</v>
      </c>
      <c r="AO6" s="16">
        <v>0.63700000000000001</v>
      </c>
      <c r="AP6" s="16">
        <v>0.56299999999999994</v>
      </c>
      <c r="AQ6" s="16">
        <v>5.0999999999999997E-2</v>
      </c>
      <c r="AR6" s="16">
        <v>0.22899999999999998</v>
      </c>
      <c r="AS6" s="16">
        <v>0.13</v>
      </c>
      <c r="AT6" s="16">
        <v>0.502</v>
      </c>
      <c r="AU6" s="16">
        <v>3.7000000000000005E-2</v>
      </c>
      <c r="AV6" s="16">
        <v>2.8999999999999998E-2</v>
      </c>
      <c r="AW6" s="16">
        <v>0.128</v>
      </c>
      <c r="AX6" s="14">
        <v>0.23600000000000002</v>
      </c>
      <c r="AY6" s="19">
        <v>138</v>
      </c>
      <c r="AZ6" s="19">
        <v>115</v>
      </c>
      <c r="BA6" s="17">
        <v>30.1</v>
      </c>
      <c r="BB6" s="17">
        <v>16.5</v>
      </c>
    </row>
    <row r="7" spans="2:54" ht="16" x14ac:dyDescent="0.2">
      <c r="B7" s="1">
        <v>6</v>
      </c>
      <c r="C7" s="2">
        <v>681</v>
      </c>
      <c r="D7" s="2">
        <v>6</v>
      </c>
      <c r="E7" s="3">
        <v>45598</v>
      </c>
      <c r="F7" s="2" t="s">
        <v>4</v>
      </c>
      <c r="G7" s="2"/>
      <c r="H7" s="2" t="s">
        <v>19</v>
      </c>
      <c r="I7" s="2" t="s">
        <v>108</v>
      </c>
      <c r="J7" s="11">
        <f>(_xlfn.TEXTBEFORE(_xlfn.TEXTAFTER($I7,", ",,1),"-",,1,1,))*1</f>
        <v>129</v>
      </c>
      <c r="K7" s="11">
        <f>(_xlfn.TEXTBEFORE(_xlfn.TEXTAFTER($I7,"-",,1)," ",,1,1,))*1</f>
        <v>103</v>
      </c>
      <c r="L7" s="2" t="str">
        <f>LEFT('    #StatsTable'!$I7,1)</f>
        <v>W</v>
      </c>
      <c r="M7" s="2">
        <f>IF('    #StatsTable'!$L7="W", M6+1,M6)</f>
        <v>3</v>
      </c>
      <c r="N7" s="2">
        <f>IF('    #StatsTable'!$L7="L",N6+1,N6)</f>
        <v>3</v>
      </c>
      <c r="O7" s="2" t="s">
        <v>0</v>
      </c>
      <c r="P7" s="4">
        <v>1.2375</v>
      </c>
      <c r="Q7" s="28">
        <v>10</v>
      </c>
      <c r="R7" s="28">
        <v>18</v>
      </c>
      <c r="S7" s="15">
        <v>0.55600000000000005</v>
      </c>
      <c r="T7" s="28">
        <v>3</v>
      </c>
      <c r="U7" s="28">
        <v>4</v>
      </c>
      <c r="V7" s="15">
        <v>0.75</v>
      </c>
      <c r="W7" s="28">
        <v>7</v>
      </c>
      <c r="X7" s="28">
        <v>14</v>
      </c>
      <c r="Y7" s="15">
        <v>0.5</v>
      </c>
      <c r="Z7" s="15">
        <v>0.63900000000000001</v>
      </c>
      <c r="AA7" s="28">
        <v>4</v>
      </c>
      <c r="AB7" s="28">
        <v>4</v>
      </c>
      <c r="AC7" s="15">
        <v>1</v>
      </c>
      <c r="AD7" s="28">
        <v>5</v>
      </c>
      <c r="AE7" s="28">
        <v>11</v>
      </c>
      <c r="AF7" s="28">
        <v>16</v>
      </c>
      <c r="AG7" s="28">
        <v>9</v>
      </c>
      <c r="AH7" s="28">
        <v>1</v>
      </c>
      <c r="AI7" s="28">
        <v>0</v>
      </c>
      <c r="AJ7" s="28">
        <v>5</v>
      </c>
      <c r="AK7" s="28">
        <v>1</v>
      </c>
      <c r="AL7" s="28">
        <v>27</v>
      </c>
      <c r="AM7" s="2">
        <v>27.1</v>
      </c>
      <c r="AN7" s="2">
        <v>31</v>
      </c>
      <c r="AO7" s="16">
        <v>0.68300000000000005</v>
      </c>
      <c r="AP7" s="16">
        <v>0.63900000000000001</v>
      </c>
      <c r="AQ7" s="16">
        <v>0.16200000000000001</v>
      </c>
      <c r="AR7" s="16">
        <v>0.434</v>
      </c>
      <c r="AS7" s="16">
        <v>0.28399999999999997</v>
      </c>
      <c r="AT7" s="16">
        <v>0.45700000000000002</v>
      </c>
      <c r="AU7" s="16">
        <v>1.4999999999999999E-2</v>
      </c>
      <c r="AV7" s="16">
        <v>0</v>
      </c>
      <c r="AW7" s="16">
        <v>0.20199999999999999</v>
      </c>
      <c r="AX7" s="14">
        <v>0.315</v>
      </c>
      <c r="AY7" s="19">
        <v>131</v>
      </c>
      <c r="AZ7" s="19">
        <v>95</v>
      </c>
      <c r="BA7" s="17">
        <v>27.1</v>
      </c>
      <c r="BB7" s="17">
        <v>15.2</v>
      </c>
    </row>
    <row r="8" spans="2:54" ht="16" x14ac:dyDescent="0.2">
      <c r="B8" s="1">
        <v>7</v>
      </c>
      <c r="C8" s="2">
        <v>682</v>
      </c>
      <c r="D8" s="2">
        <v>7</v>
      </c>
      <c r="E8" s="3">
        <v>45600</v>
      </c>
      <c r="F8" s="2" t="s">
        <v>4</v>
      </c>
      <c r="G8" s="2"/>
      <c r="H8" s="2" t="s">
        <v>107</v>
      </c>
      <c r="I8" s="2" t="s">
        <v>106</v>
      </c>
      <c r="J8" s="11">
        <f>(_xlfn.TEXTBEFORE(_xlfn.TEXTAFTER($I8,", ",,1),"-",,1,1,))*1</f>
        <v>121</v>
      </c>
      <c r="K8" s="11">
        <f>(_xlfn.TEXTBEFORE(_xlfn.TEXTAFTER($I8,"-",,1)," ",,1,1,))*1</f>
        <v>119</v>
      </c>
      <c r="L8" s="2" t="str">
        <f>LEFT('    #StatsTable'!$I8,1)</f>
        <v>W</v>
      </c>
      <c r="M8" s="2">
        <f>IF('    #StatsTable'!$L8="W", M7+1,M7)</f>
        <v>4</v>
      </c>
      <c r="N8" s="2">
        <f>IF('    #StatsTable'!$L8="L",N7+1,N7)</f>
        <v>3</v>
      </c>
      <c r="O8" s="2" t="s">
        <v>0</v>
      </c>
      <c r="P8" s="4">
        <v>1.5916666666666666</v>
      </c>
      <c r="Q8" s="28">
        <v>10</v>
      </c>
      <c r="R8" s="28">
        <v>22</v>
      </c>
      <c r="S8" s="15">
        <v>0.45500000000000002</v>
      </c>
      <c r="T8" s="28">
        <v>1</v>
      </c>
      <c r="U8" s="28">
        <v>5</v>
      </c>
      <c r="V8" s="15">
        <v>0.2</v>
      </c>
      <c r="W8" s="28">
        <v>9</v>
      </c>
      <c r="X8" s="28">
        <v>17</v>
      </c>
      <c r="Y8" s="15">
        <v>0.52900000000000003</v>
      </c>
      <c r="Z8" s="15">
        <v>0.47699999999999998</v>
      </c>
      <c r="AA8" s="28">
        <v>7</v>
      </c>
      <c r="AB8" s="28">
        <v>8</v>
      </c>
      <c r="AC8" s="15">
        <v>0.875</v>
      </c>
      <c r="AD8" s="28">
        <v>5</v>
      </c>
      <c r="AE8" s="28">
        <v>9</v>
      </c>
      <c r="AF8" s="28">
        <v>14</v>
      </c>
      <c r="AG8" s="28">
        <v>13</v>
      </c>
      <c r="AH8" s="28">
        <v>1</v>
      </c>
      <c r="AI8" s="28">
        <v>2</v>
      </c>
      <c r="AJ8" s="28">
        <v>7</v>
      </c>
      <c r="AK8" s="28">
        <v>2</v>
      </c>
      <c r="AL8" s="28">
        <v>28</v>
      </c>
      <c r="AM8" s="2">
        <v>26.1</v>
      </c>
      <c r="AN8" s="2">
        <v>-1</v>
      </c>
      <c r="AO8" s="16">
        <v>0.54900000000000004</v>
      </c>
      <c r="AP8" s="16">
        <v>0.47699999999999998</v>
      </c>
      <c r="AQ8" s="16">
        <v>0.153</v>
      </c>
      <c r="AR8" s="16">
        <v>0.25700000000000001</v>
      </c>
      <c r="AS8" s="16">
        <v>0.20699999999999999</v>
      </c>
      <c r="AT8" s="16">
        <v>0.57399999999999995</v>
      </c>
      <c r="AU8" s="16">
        <v>1.2E-2</v>
      </c>
      <c r="AV8" s="16">
        <v>3.9E-2</v>
      </c>
      <c r="AW8" s="16">
        <v>0.215</v>
      </c>
      <c r="AX8" s="14">
        <v>0.35</v>
      </c>
      <c r="AY8" s="19">
        <v>114</v>
      </c>
      <c r="AZ8" s="19">
        <v>113</v>
      </c>
      <c r="BA8" s="17">
        <v>26.1</v>
      </c>
      <c r="BB8" s="17">
        <v>5.4</v>
      </c>
    </row>
    <row r="9" spans="2:54" ht="16" x14ac:dyDescent="0.2">
      <c r="B9" s="1">
        <v>8</v>
      </c>
      <c r="C9" s="2">
        <v>683</v>
      </c>
      <c r="D9" s="2">
        <v>8</v>
      </c>
      <c r="E9" s="3">
        <v>45602</v>
      </c>
      <c r="F9" s="2" t="s">
        <v>4</v>
      </c>
      <c r="G9" s="2"/>
      <c r="H9" s="2" t="s">
        <v>35</v>
      </c>
      <c r="I9" s="2" t="s">
        <v>105</v>
      </c>
      <c r="J9" s="11">
        <f>(_xlfn.TEXTBEFORE(_xlfn.TEXTAFTER($I9,", ",,1),"-",,1,1,))*1</f>
        <v>124</v>
      </c>
      <c r="K9" s="11">
        <f>(_xlfn.TEXTBEFORE(_xlfn.TEXTAFTER($I9,"-",,1)," ",,1,1,))*1</f>
        <v>122</v>
      </c>
      <c r="L9" s="2" t="str">
        <f>LEFT('    #StatsTable'!$I9,1)</f>
        <v>W</v>
      </c>
      <c r="M9" s="2">
        <f>IF('    #StatsTable'!$L9="W", M8+1,M8)</f>
        <v>5</v>
      </c>
      <c r="N9" s="2">
        <f>IF('    #StatsTable'!$L9="L",N8+1,N8)</f>
        <v>3</v>
      </c>
      <c r="O9" s="2" t="s">
        <v>0</v>
      </c>
      <c r="P9" s="4">
        <v>1.6451388888888889</v>
      </c>
      <c r="Q9" s="28">
        <v>9</v>
      </c>
      <c r="R9" s="28">
        <v>20</v>
      </c>
      <c r="S9" s="15">
        <v>0.45</v>
      </c>
      <c r="T9" s="28">
        <v>1</v>
      </c>
      <c r="U9" s="28">
        <v>3</v>
      </c>
      <c r="V9" s="15">
        <v>0.33300000000000002</v>
      </c>
      <c r="W9" s="28">
        <v>8</v>
      </c>
      <c r="X9" s="28">
        <v>17</v>
      </c>
      <c r="Y9" s="15">
        <v>0.47099999999999997</v>
      </c>
      <c r="Z9" s="15">
        <v>0.47499999999999998</v>
      </c>
      <c r="AA9" s="28">
        <v>4</v>
      </c>
      <c r="AB9" s="28">
        <v>6</v>
      </c>
      <c r="AC9" s="15">
        <v>0.66700000000000004</v>
      </c>
      <c r="AD9" s="28">
        <v>7</v>
      </c>
      <c r="AE9" s="28">
        <v>13</v>
      </c>
      <c r="AF9" s="28">
        <v>20</v>
      </c>
      <c r="AG9" s="28">
        <v>16</v>
      </c>
      <c r="AH9" s="28">
        <v>2</v>
      </c>
      <c r="AI9" s="28">
        <v>2</v>
      </c>
      <c r="AJ9" s="28">
        <v>5</v>
      </c>
      <c r="AK9" s="28">
        <v>2</v>
      </c>
      <c r="AL9" s="28">
        <v>23</v>
      </c>
      <c r="AM9" s="2">
        <v>29.4</v>
      </c>
      <c r="AN9" s="2">
        <v>8</v>
      </c>
      <c r="AO9" s="16">
        <v>0.50800000000000001</v>
      </c>
      <c r="AP9" s="16">
        <v>0.47499999999999998</v>
      </c>
      <c r="AQ9" s="16">
        <v>0.18100000000000002</v>
      </c>
      <c r="AR9" s="16">
        <v>0.28699999999999998</v>
      </c>
      <c r="AS9" s="16">
        <v>0.23800000000000002</v>
      </c>
      <c r="AT9" s="16">
        <v>0.626</v>
      </c>
      <c r="AU9" s="16">
        <v>2.3E-2</v>
      </c>
      <c r="AV9" s="16">
        <v>4.0999999999999995E-2</v>
      </c>
      <c r="AW9" s="16">
        <v>0.18100000000000002</v>
      </c>
      <c r="AX9" s="14">
        <v>0.27699999999999997</v>
      </c>
      <c r="AY9" s="19">
        <v>121</v>
      </c>
      <c r="AZ9" s="19">
        <v>105</v>
      </c>
      <c r="BA9" s="17">
        <v>29.4</v>
      </c>
      <c r="BB9" s="17">
        <v>12.1</v>
      </c>
    </row>
    <row r="10" spans="2:54" ht="16" x14ac:dyDescent="0.2">
      <c r="B10" s="1">
        <v>9</v>
      </c>
      <c r="C10" s="2">
        <v>684</v>
      </c>
      <c r="D10" s="2">
        <v>9</v>
      </c>
      <c r="E10" s="3">
        <v>45604</v>
      </c>
      <c r="F10" s="2" t="s">
        <v>4</v>
      </c>
      <c r="G10" s="2"/>
      <c r="H10" s="2" t="s">
        <v>68</v>
      </c>
      <c r="I10" s="2" t="s">
        <v>104</v>
      </c>
      <c r="J10" s="11">
        <f>(_xlfn.TEXTBEFORE(_xlfn.TEXTAFTER($I10,", ",,1),"-",,1,1,))*1</f>
        <v>135</v>
      </c>
      <c r="K10" s="11">
        <f>(_xlfn.TEXTBEFORE(_xlfn.TEXTAFTER($I10,"-",,1)," ",,1,1,))*1</f>
        <v>122</v>
      </c>
      <c r="L10" s="2" t="str">
        <f>LEFT('    #StatsTable'!$I10,1)</f>
        <v>W</v>
      </c>
      <c r="M10" s="2">
        <f>IF('    #StatsTable'!$L10="W", M9+1,M9)</f>
        <v>6</v>
      </c>
      <c r="N10" s="2">
        <f>IF('    #StatsTable'!$L10="L",N9+1,N9)</f>
        <v>3</v>
      </c>
      <c r="O10" s="2" t="s">
        <v>0</v>
      </c>
      <c r="P10" s="4">
        <v>1.6666666666666667</v>
      </c>
      <c r="Q10" s="28">
        <v>11</v>
      </c>
      <c r="R10" s="28">
        <v>13</v>
      </c>
      <c r="S10" s="15">
        <v>0.84599999999999997</v>
      </c>
      <c r="T10" s="28">
        <v>1</v>
      </c>
      <c r="U10" s="28">
        <v>1</v>
      </c>
      <c r="V10" s="15">
        <v>1</v>
      </c>
      <c r="W10" s="28">
        <v>10</v>
      </c>
      <c r="X10" s="28">
        <v>12</v>
      </c>
      <c r="Y10" s="15">
        <v>0.83299999999999996</v>
      </c>
      <c r="Z10" s="15">
        <v>0.88500000000000001</v>
      </c>
      <c r="AA10" s="28">
        <v>7</v>
      </c>
      <c r="AB10" s="28">
        <v>7</v>
      </c>
      <c r="AC10" s="15">
        <v>1</v>
      </c>
      <c r="AD10" s="28">
        <v>2</v>
      </c>
      <c r="AE10" s="28">
        <v>9</v>
      </c>
      <c r="AF10" s="28">
        <v>11</v>
      </c>
      <c r="AG10" s="28">
        <v>14</v>
      </c>
      <c r="AH10" s="28">
        <v>2</v>
      </c>
      <c r="AI10" s="28">
        <v>0</v>
      </c>
      <c r="AJ10" s="28">
        <v>5</v>
      </c>
      <c r="AK10" s="28">
        <v>2</v>
      </c>
      <c r="AL10" s="28">
        <v>30</v>
      </c>
      <c r="AM10" s="2">
        <v>35.4</v>
      </c>
      <c r="AN10" s="2">
        <v>26</v>
      </c>
      <c r="AO10" s="16">
        <v>0.93300000000000005</v>
      </c>
      <c r="AP10" s="16">
        <v>0.88500000000000001</v>
      </c>
      <c r="AQ10" s="16">
        <v>0.08</v>
      </c>
      <c r="AR10" s="16">
        <v>0.25700000000000001</v>
      </c>
      <c r="AS10" s="16">
        <v>0.183</v>
      </c>
      <c r="AT10" s="16">
        <v>0.45700000000000002</v>
      </c>
      <c r="AU10" s="16">
        <v>2.4E-2</v>
      </c>
      <c r="AV10" s="16">
        <v>0</v>
      </c>
      <c r="AW10" s="16">
        <v>0.23699999999999999</v>
      </c>
      <c r="AX10" s="14">
        <v>0.23600000000000002</v>
      </c>
      <c r="AY10" s="19">
        <v>162</v>
      </c>
      <c r="AZ10" s="19">
        <v>117</v>
      </c>
      <c r="BA10" s="17">
        <v>35.4</v>
      </c>
      <c r="BB10" s="17">
        <v>14.1</v>
      </c>
    </row>
    <row r="11" spans="2:54" ht="16" x14ac:dyDescent="0.2">
      <c r="B11" s="1">
        <v>10</v>
      </c>
      <c r="C11" s="2">
        <v>685</v>
      </c>
      <c r="D11" s="2">
        <v>10</v>
      </c>
      <c r="E11" s="3">
        <v>45606</v>
      </c>
      <c r="F11" s="2" t="s">
        <v>4</v>
      </c>
      <c r="G11" s="2"/>
      <c r="H11" s="2" t="s">
        <v>71</v>
      </c>
      <c r="I11" s="2" t="s">
        <v>103</v>
      </c>
      <c r="J11" s="11">
        <f>(_xlfn.TEXTBEFORE(_xlfn.TEXTAFTER($I11,", ",,1),"-",,1,1,))*1</f>
        <v>122</v>
      </c>
      <c r="K11" s="11">
        <f>(_xlfn.TEXTBEFORE(_xlfn.TEXTAFTER($I11,"-",,1)," ",,1,1,))*1</f>
        <v>120</v>
      </c>
      <c r="L11" s="2" t="str">
        <f>LEFT('    #StatsTable'!$I11,1)</f>
        <v>W</v>
      </c>
      <c r="M11" s="2">
        <f>IF('    #StatsTable'!$L11="W", M10+1,M10)</f>
        <v>7</v>
      </c>
      <c r="N11" s="2">
        <f>IF('    #StatsTable'!$L11="L",N10+1,N10)</f>
        <v>3</v>
      </c>
      <c r="O11" s="2" t="s">
        <v>0</v>
      </c>
      <c r="P11" s="4">
        <v>1.5840277777777778</v>
      </c>
      <c r="Q11" s="28">
        <v>13</v>
      </c>
      <c r="R11" s="28">
        <v>21</v>
      </c>
      <c r="S11" s="15">
        <v>0.61899999999999999</v>
      </c>
      <c r="T11" s="28">
        <v>3</v>
      </c>
      <c r="U11" s="28">
        <v>3</v>
      </c>
      <c r="V11" s="15">
        <v>1</v>
      </c>
      <c r="W11" s="28">
        <v>10</v>
      </c>
      <c r="X11" s="28">
        <v>18</v>
      </c>
      <c r="Y11" s="15">
        <v>0.55600000000000005</v>
      </c>
      <c r="Z11" s="15">
        <v>0.69</v>
      </c>
      <c r="AA11" s="28">
        <v>8</v>
      </c>
      <c r="AB11" s="28">
        <v>8</v>
      </c>
      <c r="AC11" s="15">
        <v>1</v>
      </c>
      <c r="AD11" s="28">
        <v>8</v>
      </c>
      <c r="AE11" s="28">
        <v>10</v>
      </c>
      <c r="AF11" s="28">
        <v>18</v>
      </c>
      <c r="AG11" s="28">
        <v>15</v>
      </c>
      <c r="AH11" s="28">
        <v>3</v>
      </c>
      <c r="AI11" s="28">
        <v>0</v>
      </c>
      <c r="AJ11" s="28">
        <v>4</v>
      </c>
      <c r="AK11" s="28">
        <v>2</v>
      </c>
      <c r="AL11" s="28">
        <v>37</v>
      </c>
      <c r="AM11" s="2">
        <v>44.8</v>
      </c>
      <c r="AN11" s="2">
        <v>13</v>
      </c>
      <c r="AO11" s="16">
        <v>0.754</v>
      </c>
      <c r="AP11" s="16">
        <v>0.69</v>
      </c>
      <c r="AQ11" s="16">
        <v>0.22399999999999998</v>
      </c>
      <c r="AR11" s="16">
        <v>0.30099999999999999</v>
      </c>
      <c r="AS11" s="16">
        <v>0.26100000000000001</v>
      </c>
      <c r="AT11" s="16">
        <v>0.66299999999999992</v>
      </c>
      <c r="AU11" s="16">
        <v>3.9E-2</v>
      </c>
      <c r="AV11" s="16">
        <v>0</v>
      </c>
      <c r="AW11" s="16">
        <v>0.14000000000000001</v>
      </c>
      <c r="AX11" s="14">
        <v>0.32600000000000001</v>
      </c>
      <c r="AY11" s="19">
        <v>154</v>
      </c>
      <c r="AZ11" s="19">
        <v>117</v>
      </c>
      <c r="BA11" s="17">
        <v>44.8</v>
      </c>
      <c r="BB11" s="17">
        <v>26.6</v>
      </c>
    </row>
    <row r="12" spans="2:54" ht="16" x14ac:dyDescent="0.2">
      <c r="B12" s="1">
        <v>10</v>
      </c>
      <c r="C12" s="2"/>
      <c r="D12" s="2">
        <v>11</v>
      </c>
      <c r="E12" s="3">
        <v>45611</v>
      </c>
      <c r="F12" s="2" t="s">
        <v>4</v>
      </c>
      <c r="G12" s="2" t="s">
        <v>3</v>
      </c>
      <c r="H12" s="2" t="s">
        <v>55</v>
      </c>
      <c r="I12" s="2" t="s">
        <v>102</v>
      </c>
      <c r="J12" s="11">
        <f>(_xlfn.TEXTBEFORE(_xlfn.TEXTAFTER($I12,", ",,1),"-",,1,1,))*1</f>
        <v>94</v>
      </c>
      <c r="K12" s="11">
        <f>(_xlfn.TEXTBEFORE(_xlfn.TEXTAFTER($I12,"-",,1)," ",,1,1,))*1</f>
        <v>101</v>
      </c>
      <c r="L12" s="2" t="str">
        <f>LEFT('    #StatsTable'!$I12,1)</f>
        <v>L</v>
      </c>
      <c r="M12" s="2">
        <f>IF('    #StatsTable'!$L12="W", M11+1,M11)</f>
        <v>7</v>
      </c>
      <c r="N12" s="2">
        <f>IF('    #StatsTable'!$L12="L",N11+1,N11)</f>
        <v>4</v>
      </c>
      <c r="O12" s="2" t="s">
        <v>13</v>
      </c>
      <c r="P12" s="2" t="s">
        <v>208</v>
      </c>
      <c r="Q12" s="28" t="s">
        <v>208</v>
      </c>
      <c r="R12" s="28" t="s">
        <v>208</v>
      </c>
      <c r="S12" s="15" t="s">
        <v>208</v>
      </c>
      <c r="T12" s="28" t="s">
        <v>208</v>
      </c>
      <c r="U12" s="28" t="s">
        <v>208</v>
      </c>
      <c r="V12" s="15" t="s">
        <v>208</v>
      </c>
      <c r="W12" s="28" t="s">
        <v>208</v>
      </c>
      <c r="X12" s="28" t="s">
        <v>208</v>
      </c>
      <c r="Y12" s="15" t="s">
        <v>208</v>
      </c>
      <c r="Z12" s="15" t="s">
        <v>208</v>
      </c>
      <c r="AA12" s="28" t="s">
        <v>208</v>
      </c>
      <c r="AB12" s="28" t="s">
        <v>208</v>
      </c>
      <c r="AC12" s="15" t="s">
        <v>208</v>
      </c>
      <c r="AD12" s="28" t="s">
        <v>208</v>
      </c>
      <c r="AE12" s="28" t="s">
        <v>208</v>
      </c>
      <c r="AF12" s="28" t="s">
        <v>208</v>
      </c>
      <c r="AG12" s="28" t="s">
        <v>208</v>
      </c>
      <c r="AH12" s="28" t="s">
        <v>208</v>
      </c>
      <c r="AI12" s="28" t="s">
        <v>208</v>
      </c>
      <c r="AJ12" s="28" t="s">
        <v>208</v>
      </c>
      <c r="AK12" s="28" t="s">
        <v>208</v>
      </c>
      <c r="AL12" s="28" t="s">
        <v>208</v>
      </c>
      <c r="AM12" s="2" t="s">
        <v>208</v>
      </c>
      <c r="AN12" s="2" t="s">
        <v>208</v>
      </c>
      <c r="AO12" s="15" t="s">
        <v>208</v>
      </c>
      <c r="AP12" s="15" t="s">
        <v>208</v>
      </c>
      <c r="AQ12" s="15" t="s">
        <v>208</v>
      </c>
      <c r="AR12" s="15" t="s">
        <v>208</v>
      </c>
      <c r="AS12" s="15" t="s">
        <v>208</v>
      </c>
      <c r="AT12" s="15" t="s">
        <v>208</v>
      </c>
      <c r="AU12" s="15" t="s">
        <v>208</v>
      </c>
      <c r="AV12" s="15" t="s">
        <v>208</v>
      </c>
      <c r="AW12" s="15" t="s">
        <v>208</v>
      </c>
      <c r="AX12" s="14" t="s">
        <v>208</v>
      </c>
      <c r="AY12" s="28" t="s">
        <v>208</v>
      </c>
      <c r="AZ12" s="28" t="s">
        <v>208</v>
      </c>
      <c r="BA12" s="26" t="s">
        <v>208</v>
      </c>
      <c r="BB12" s="26" t="s">
        <v>208</v>
      </c>
    </row>
    <row r="13" spans="2:54" ht="16" x14ac:dyDescent="0.2">
      <c r="B13" s="1">
        <v>10</v>
      </c>
      <c r="C13" s="2"/>
      <c r="D13" s="2">
        <v>12</v>
      </c>
      <c r="E13" s="3">
        <v>45613</v>
      </c>
      <c r="F13" s="2" t="s">
        <v>4</v>
      </c>
      <c r="G13" s="2" t="s">
        <v>3</v>
      </c>
      <c r="H13" s="2" t="s">
        <v>6</v>
      </c>
      <c r="I13" s="2" t="s">
        <v>101</v>
      </c>
      <c r="J13" s="11">
        <f>(_xlfn.TEXTBEFORE(_xlfn.TEXTAFTER($I13,", ",,1),"-",,1,1,))*1</f>
        <v>90</v>
      </c>
      <c r="K13" s="11">
        <f>(_xlfn.TEXTBEFORE(_xlfn.TEXTAFTER($I13,"-",,1)," ",,1,1,))*1</f>
        <v>105</v>
      </c>
      <c r="L13" s="2" t="str">
        <f>LEFT('    #StatsTable'!$I13,1)</f>
        <v>L</v>
      </c>
      <c r="M13" s="2">
        <f>IF('    #StatsTable'!$L13="W", M12+1,M12)</f>
        <v>7</v>
      </c>
      <c r="N13" s="2">
        <f>IF('    #StatsTable'!$L13="L",N12+1,N12)</f>
        <v>5</v>
      </c>
      <c r="O13" s="2" t="s">
        <v>13</v>
      </c>
      <c r="P13" s="2" t="s">
        <v>208</v>
      </c>
      <c r="Q13" s="28" t="s">
        <v>208</v>
      </c>
      <c r="R13" s="28" t="s">
        <v>208</v>
      </c>
      <c r="S13" s="15" t="s">
        <v>208</v>
      </c>
      <c r="T13" s="28" t="s">
        <v>208</v>
      </c>
      <c r="U13" s="28" t="s">
        <v>208</v>
      </c>
      <c r="V13" s="15" t="s">
        <v>208</v>
      </c>
      <c r="W13" s="28" t="s">
        <v>208</v>
      </c>
      <c r="X13" s="28" t="s">
        <v>208</v>
      </c>
      <c r="Y13" s="15" t="s">
        <v>208</v>
      </c>
      <c r="Z13" s="15" t="s">
        <v>208</v>
      </c>
      <c r="AA13" s="28" t="s">
        <v>208</v>
      </c>
      <c r="AB13" s="28" t="s">
        <v>208</v>
      </c>
      <c r="AC13" s="15" t="s">
        <v>208</v>
      </c>
      <c r="AD13" s="28" t="s">
        <v>208</v>
      </c>
      <c r="AE13" s="28" t="s">
        <v>208</v>
      </c>
      <c r="AF13" s="28" t="s">
        <v>208</v>
      </c>
      <c r="AG13" s="28" t="s">
        <v>208</v>
      </c>
      <c r="AH13" s="28" t="s">
        <v>208</v>
      </c>
      <c r="AI13" s="28" t="s">
        <v>208</v>
      </c>
      <c r="AJ13" s="28" t="s">
        <v>208</v>
      </c>
      <c r="AK13" s="28" t="s">
        <v>208</v>
      </c>
      <c r="AL13" s="28" t="s">
        <v>208</v>
      </c>
      <c r="AM13" s="2" t="s">
        <v>208</v>
      </c>
      <c r="AN13" s="2" t="s">
        <v>208</v>
      </c>
      <c r="AO13" s="15" t="s">
        <v>208</v>
      </c>
      <c r="AP13" s="15" t="s">
        <v>208</v>
      </c>
      <c r="AQ13" s="15" t="s">
        <v>208</v>
      </c>
      <c r="AR13" s="15" t="s">
        <v>208</v>
      </c>
      <c r="AS13" s="15" t="s">
        <v>208</v>
      </c>
      <c r="AT13" s="15" t="s">
        <v>208</v>
      </c>
      <c r="AU13" s="15" t="s">
        <v>208</v>
      </c>
      <c r="AV13" s="15" t="s">
        <v>208</v>
      </c>
      <c r="AW13" s="15" t="s">
        <v>208</v>
      </c>
      <c r="AX13" s="14" t="s">
        <v>208</v>
      </c>
      <c r="AY13" s="28" t="s">
        <v>208</v>
      </c>
      <c r="AZ13" s="28" t="s">
        <v>208</v>
      </c>
      <c r="BA13" s="26" t="s">
        <v>208</v>
      </c>
      <c r="BB13" s="26" t="s">
        <v>208</v>
      </c>
    </row>
    <row r="14" spans="2:54" ht="16" x14ac:dyDescent="0.2">
      <c r="B14" s="1">
        <v>10</v>
      </c>
      <c r="C14" s="2"/>
      <c r="D14" s="2">
        <v>13</v>
      </c>
      <c r="E14" s="3">
        <v>45615</v>
      </c>
      <c r="F14" s="2" t="s">
        <v>4</v>
      </c>
      <c r="G14" s="2" t="s">
        <v>3</v>
      </c>
      <c r="H14" s="2" t="s">
        <v>6</v>
      </c>
      <c r="I14" s="2" t="s">
        <v>100</v>
      </c>
      <c r="J14" s="11">
        <f>(_xlfn.TEXTBEFORE(_xlfn.TEXTAFTER($I14,", ",,1),"-",,1,1,))*1</f>
        <v>122</v>
      </c>
      <c r="K14" s="11">
        <f>(_xlfn.TEXTBEFORE(_xlfn.TEXTAFTER($I14,"-",,1)," ",,1,1,))*1</f>
        <v>110</v>
      </c>
      <c r="L14" s="2" t="str">
        <f>LEFT('    #StatsTable'!$I14,1)</f>
        <v>W</v>
      </c>
      <c r="M14" s="2">
        <f>IF('    #StatsTable'!$L14="W", M13+1,M13)</f>
        <v>8</v>
      </c>
      <c r="N14" s="2">
        <f>IF('    #StatsTable'!$L14="L",N13+1,N13)</f>
        <v>5</v>
      </c>
      <c r="O14" s="2" t="s">
        <v>13</v>
      </c>
      <c r="P14" s="2" t="s">
        <v>208</v>
      </c>
      <c r="Q14" s="28" t="s">
        <v>208</v>
      </c>
      <c r="R14" s="28" t="s">
        <v>208</v>
      </c>
      <c r="S14" s="15" t="s">
        <v>208</v>
      </c>
      <c r="T14" s="28" t="s">
        <v>208</v>
      </c>
      <c r="U14" s="28" t="s">
        <v>208</v>
      </c>
      <c r="V14" s="15" t="s">
        <v>208</v>
      </c>
      <c r="W14" s="28" t="s">
        <v>208</v>
      </c>
      <c r="X14" s="28" t="s">
        <v>208</v>
      </c>
      <c r="Y14" s="15" t="s">
        <v>208</v>
      </c>
      <c r="Z14" s="15" t="s">
        <v>208</v>
      </c>
      <c r="AA14" s="28" t="s">
        <v>208</v>
      </c>
      <c r="AB14" s="28" t="s">
        <v>208</v>
      </c>
      <c r="AC14" s="15" t="s">
        <v>208</v>
      </c>
      <c r="AD14" s="28" t="s">
        <v>208</v>
      </c>
      <c r="AE14" s="28" t="s">
        <v>208</v>
      </c>
      <c r="AF14" s="28" t="s">
        <v>208</v>
      </c>
      <c r="AG14" s="28" t="s">
        <v>208</v>
      </c>
      <c r="AH14" s="28" t="s">
        <v>208</v>
      </c>
      <c r="AI14" s="28" t="s">
        <v>208</v>
      </c>
      <c r="AJ14" s="28" t="s">
        <v>208</v>
      </c>
      <c r="AK14" s="28" t="s">
        <v>208</v>
      </c>
      <c r="AL14" s="28" t="s">
        <v>208</v>
      </c>
      <c r="AM14" s="2" t="s">
        <v>208</v>
      </c>
      <c r="AN14" s="2" t="s">
        <v>208</v>
      </c>
      <c r="AO14" s="15" t="s">
        <v>208</v>
      </c>
      <c r="AP14" s="15" t="s">
        <v>208</v>
      </c>
      <c r="AQ14" s="15" t="s">
        <v>208</v>
      </c>
      <c r="AR14" s="15" t="s">
        <v>208</v>
      </c>
      <c r="AS14" s="15" t="s">
        <v>208</v>
      </c>
      <c r="AT14" s="15" t="s">
        <v>208</v>
      </c>
      <c r="AU14" s="15" t="s">
        <v>208</v>
      </c>
      <c r="AV14" s="15" t="s">
        <v>208</v>
      </c>
      <c r="AW14" s="15" t="s">
        <v>208</v>
      </c>
      <c r="AX14" s="14" t="s">
        <v>208</v>
      </c>
      <c r="AY14" s="28" t="s">
        <v>208</v>
      </c>
      <c r="AZ14" s="28" t="s">
        <v>208</v>
      </c>
      <c r="BA14" s="26" t="s">
        <v>208</v>
      </c>
      <c r="BB14" s="26" t="s">
        <v>208</v>
      </c>
    </row>
    <row r="15" spans="2:54" ht="16" x14ac:dyDescent="0.2">
      <c r="B15" s="1">
        <v>11</v>
      </c>
      <c r="C15" s="2">
        <v>686</v>
      </c>
      <c r="D15" s="2">
        <v>14</v>
      </c>
      <c r="E15" s="3">
        <v>45618</v>
      </c>
      <c r="F15" s="2" t="s">
        <v>4</v>
      </c>
      <c r="G15" s="2"/>
      <c r="H15" s="2" t="s">
        <v>71</v>
      </c>
      <c r="I15" s="2" t="s">
        <v>99</v>
      </c>
      <c r="J15" s="11">
        <f>(_xlfn.TEXTBEFORE(_xlfn.TEXTAFTER($I15,", ",,1),"-",,1,1,))*1</f>
        <v>120</v>
      </c>
      <c r="K15" s="11">
        <f>(_xlfn.TEXTBEFORE(_xlfn.TEXTAFTER($I15,"-",,1)," ",,1,1,))*1</f>
        <v>123</v>
      </c>
      <c r="L15" s="2" t="str">
        <f>LEFT('    #StatsTable'!$I15,1)</f>
        <v>L</v>
      </c>
      <c r="M15" s="2">
        <f>IF('    #StatsTable'!$L15="W", M14+1,M14)</f>
        <v>8</v>
      </c>
      <c r="N15" s="2">
        <f>IF('    #StatsTable'!$L15="L",N14+1,N14)</f>
        <v>6</v>
      </c>
      <c r="O15" s="2" t="s">
        <v>0</v>
      </c>
      <c r="P15" s="4">
        <v>1.6444444444444444</v>
      </c>
      <c r="Q15" s="28">
        <v>13</v>
      </c>
      <c r="R15" s="28">
        <v>22</v>
      </c>
      <c r="S15" s="15">
        <v>0.59099999999999997</v>
      </c>
      <c r="T15" s="28">
        <v>2</v>
      </c>
      <c r="U15" s="28">
        <v>2</v>
      </c>
      <c r="V15" s="15">
        <v>1</v>
      </c>
      <c r="W15" s="28">
        <v>11</v>
      </c>
      <c r="X15" s="28">
        <v>20</v>
      </c>
      <c r="Y15" s="15">
        <v>0.55000000000000004</v>
      </c>
      <c r="Z15" s="15">
        <v>0.63600000000000001</v>
      </c>
      <c r="AA15" s="28">
        <v>5</v>
      </c>
      <c r="AB15" s="28">
        <v>7</v>
      </c>
      <c r="AC15" s="15">
        <v>0.71399999999999997</v>
      </c>
      <c r="AD15" s="28">
        <v>6</v>
      </c>
      <c r="AE15" s="28">
        <v>11</v>
      </c>
      <c r="AF15" s="28">
        <v>17</v>
      </c>
      <c r="AG15" s="28">
        <v>10</v>
      </c>
      <c r="AH15" s="28">
        <v>0</v>
      </c>
      <c r="AI15" s="28">
        <v>0</v>
      </c>
      <c r="AJ15" s="28">
        <v>3</v>
      </c>
      <c r="AK15" s="28">
        <v>0</v>
      </c>
      <c r="AL15" s="28">
        <v>33</v>
      </c>
      <c r="AM15" s="2">
        <v>33.5</v>
      </c>
      <c r="AN15" s="2">
        <v>4</v>
      </c>
      <c r="AO15" s="16">
        <v>0.65800000000000003</v>
      </c>
      <c r="AP15" s="16">
        <v>0.63600000000000001</v>
      </c>
      <c r="AQ15" s="16">
        <v>0.155</v>
      </c>
      <c r="AR15" s="16">
        <v>0.34299999999999997</v>
      </c>
      <c r="AS15" s="16">
        <v>0.24</v>
      </c>
      <c r="AT15" s="16">
        <v>0.44700000000000001</v>
      </c>
      <c r="AU15" s="16">
        <v>0</v>
      </c>
      <c r="AV15" s="16">
        <v>0</v>
      </c>
      <c r="AW15" s="16">
        <v>0.107</v>
      </c>
      <c r="AX15" s="14">
        <v>0.28999999999999998</v>
      </c>
      <c r="AY15" s="19">
        <v>139</v>
      </c>
      <c r="AZ15" s="19">
        <v>121</v>
      </c>
      <c r="BA15" s="17">
        <v>33.5</v>
      </c>
      <c r="BB15" s="17">
        <v>12.2</v>
      </c>
    </row>
    <row r="16" spans="2:54" ht="16" x14ac:dyDescent="0.2">
      <c r="B16" s="1">
        <v>12</v>
      </c>
      <c r="C16" s="2">
        <v>687</v>
      </c>
      <c r="D16" s="2">
        <v>15</v>
      </c>
      <c r="E16" s="3">
        <v>45619</v>
      </c>
      <c r="F16" s="2" t="s">
        <v>4</v>
      </c>
      <c r="G16" s="2" t="s">
        <v>3</v>
      </c>
      <c r="H16" s="2" t="s">
        <v>28</v>
      </c>
      <c r="I16" s="2" t="s">
        <v>98</v>
      </c>
      <c r="J16" s="11">
        <f>(_xlfn.TEXTBEFORE(_xlfn.TEXTAFTER($I16,", ",,1),"-",,1,1,))*1</f>
        <v>127</v>
      </c>
      <c r="K16" s="11">
        <f>(_xlfn.TEXTBEFORE(_xlfn.TEXTAFTER($I16,"-",,1)," ",,1,1,))*1</f>
        <v>102</v>
      </c>
      <c r="L16" s="2" t="str">
        <f>LEFT('    #StatsTable'!$I16,1)</f>
        <v>W</v>
      </c>
      <c r="M16" s="2">
        <f>IF('    #StatsTable'!$L16="W", M15+1,M15)</f>
        <v>9</v>
      </c>
      <c r="N16" s="2">
        <f>IF('    #StatsTable'!$L16="L",N15+1,N15)</f>
        <v>6</v>
      </c>
      <c r="O16" s="2" t="s">
        <v>0</v>
      </c>
      <c r="P16" s="4">
        <v>1.5256944444444445</v>
      </c>
      <c r="Q16" s="28">
        <v>12</v>
      </c>
      <c r="R16" s="28">
        <v>20</v>
      </c>
      <c r="S16" s="15">
        <v>0.6</v>
      </c>
      <c r="T16" s="28">
        <v>3</v>
      </c>
      <c r="U16" s="28">
        <v>7</v>
      </c>
      <c r="V16" s="15">
        <v>0.42899999999999999</v>
      </c>
      <c r="W16" s="28">
        <v>9</v>
      </c>
      <c r="X16" s="28">
        <v>13</v>
      </c>
      <c r="Y16" s="15">
        <v>0.69199999999999995</v>
      </c>
      <c r="Z16" s="15">
        <v>0.67500000000000004</v>
      </c>
      <c r="AA16" s="28">
        <v>7</v>
      </c>
      <c r="AB16" s="28">
        <v>8</v>
      </c>
      <c r="AC16" s="15">
        <v>0.875</v>
      </c>
      <c r="AD16" s="28">
        <v>2</v>
      </c>
      <c r="AE16" s="28">
        <v>11</v>
      </c>
      <c r="AF16" s="28">
        <v>13</v>
      </c>
      <c r="AG16" s="28">
        <v>8</v>
      </c>
      <c r="AH16" s="28">
        <v>2</v>
      </c>
      <c r="AI16" s="28">
        <v>1</v>
      </c>
      <c r="AJ16" s="28">
        <v>6</v>
      </c>
      <c r="AK16" s="28">
        <v>3</v>
      </c>
      <c r="AL16" s="28">
        <v>34</v>
      </c>
      <c r="AM16" s="2">
        <v>30.2</v>
      </c>
      <c r="AN16" s="2">
        <v>39</v>
      </c>
      <c r="AO16" s="16">
        <v>0.72299999999999998</v>
      </c>
      <c r="AP16" s="16">
        <v>0.67500000000000004</v>
      </c>
      <c r="AQ16" s="16">
        <v>7.6999999999999999E-2</v>
      </c>
      <c r="AR16" s="16">
        <v>0.313</v>
      </c>
      <c r="AS16" s="16">
        <v>0.21299999999999999</v>
      </c>
      <c r="AT16" s="16">
        <v>0.30599999999999999</v>
      </c>
      <c r="AU16" s="16">
        <v>2.6000000000000002E-2</v>
      </c>
      <c r="AV16" s="16">
        <v>2.5000000000000001E-2</v>
      </c>
      <c r="AW16" s="16">
        <v>0.20300000000000001</v>
      </c>
      <c r="AX16" s="14">
        <v>0.35700000000000004</v>
      </c>
      <c r="AY16" s="19">
        <v>126</v>
      </c>
      <c r="AZ16" s="19">
        <v>95</v>
      </c>
      <c r="BA16" s="17">
        <v>30.2</v>
      </c>
      <c r="BB16" s="17">
        <v>9.9</v>
      </c>
    </row>
    <row r="17" spans="2:54" ht="16" x14ac:dyDescent="0.2">
      <c r="B17" s="1">
        <v>13</v>
      </c>
      <c r="C17" s="2">
        <v>688</v>
      </c>
      <c r="D17" s="2">
        <v>16</v>
      </c>
      <c r="E17" s="3">
        <v>45621</v>
      </c>
      <c r="F17" s="2" t="s">
        <v>4</v>
      </c>
      <c r="G17" s="2"/>
      <c r="H17" s="2" t="s">
        <v>61</v>
      </c>
      <c r="I17" s="2" t="s">
        <v>97</v>
      </c>
      <c r="J17" s="11">
        <f>(_xlfn.TEXTBEFORE(_xlfn.TEXTAFTER($I17,", ",,1),"-",,1,1,))*1</f>
        <v>118</v>
      </c>
      <c r="K17" s="11">
        <f>(_xlfn.TEXTBEFORE(_xlfn.TEXTAFTER($I17,"-",,1)," ",,1,1,))*1</f>
        <v>145</v>
      </c>
      <c r="L17" s="2" t="str">
        <f>LEFT('    #StatsTable'!$I17,1)</f>
        <v>L</v>
      </c>
      <c r="M17" s="2">
        <f>IF('    #StatsTable'!$L17="W", M16+1,M16)</f>
        <v>9</v>
      </c>
      <c r="N17" s="2">
        <f>IF('    #StatsTable'!$L17="L",N16+1,N16)</f>
        <v>7</v>
      </c>
      <c r="O17" s="2" t="s">
        <v>0</v>
      </c>
      <c r="P17" s="4">
        <v>1.3263888888888888</v>
      </c>
      <c r="Q17" s="28">
        <v>9</v>
      </c>
      <c r="R17" s="28">
        <v>20</v>
      </c>
      <c r="S17" s="15">
        <v>0.45</v>
      </c>
      <c r="T17" s="28">
        <v>2</v>
      </c>
      <c r="U17" s="28">
        <v>7</v>
      </c>
      <c r="V17" s="15">
        <v>0.28599999999999998</v>
      </c>
      <c r="W17" s="28">
        <v>7</v>
      </c>
      <c r="X17" s="28">
        <v>13</v>
      </c>
      <c r="Y17" s="15">
        <v>0.53800000000000003</v>
      </c>
      <c r="Z17" s="15">
        <v>0.5</v>
      </c>
      <c r="AA17" s="28">
        <v>2</v>
      </c>
      <c r="AB17" s="28">
        <v>2</v>
      </c>
      <c r="AC17" s="15">
        <v>1</v>
      </c>
      <c r="AD17" s="28">
        <v>3</v>
      </c>
      <c r="AE17" s="28">
        <v>4</v>
      </c>
      <c r="AF17" s="28">
        <v>7</v>
      </c>
      <c r="AG17" s="28">
        <v>7</v>
      </c>
      <c r="AH17" s="28">
        <v>1</v>
      </c>
      <c r="AI17" s="28">
        <v>0</v>
      </c>
      <c r="AJ17" s="28">
        <v>0</v>
      </c>
      <c r="AK17" s="28">
        <v>1</v>
      </c>
      <c r="AL17" s="28">
        <v>22</v>
      </c>
      <c r="AM17" s="2">
        <v>20.399999999999999</v>
      </c>
      <c r="AN17" s="2">
        <v>-20</v>
      </c>
      <c r="AO17" s="16">
        <v>0.52700000000000002</v>
      </c>
      <c r="AP17" s="16">
        <v>0.5</v>
      </c>
      <c r="AQ17" s="16">
        <v>0.10099999999999999</v>
      </c>
      <c r="AR17" s="16">
        <v>0.19500000000000001</v>
      </c>
      <c r="AS17" s="16">
        <v>0.13900000000000001</v>
      </c>
      <c r="AT17" s="16">
        <v>0.38500000000000001</v>
      </c>
      <c r="AU17" s="16">
        <v>1.4999999999999999E-2</v>
      </c>
      <c r="AV17" s="16">
        <v>0</v>
      </c>
      <c r="AW17" s="16">
        <v>0</v>
      </c>
      <c r="AX17" s="14">
        <v>0.27399999999999997</v>
      </c>
      <c r="AY17" s="19">
        <v>127</v>
      </c>
      <c r="AZ17" s="19">
        <v>144</v>
      </c>
      <c r="BA17" s="17">
        <v>20.399999999999999</v>
      </c>
      <c r="BB17" s="17">
        <v>7.2</v>
      </c>
    </row>
    <row r="18" spans="2:54" ht="16" x14ac:dyDescent="0.2">
      <c r="B18" s="1">
        <v>14</v>
      </c>
      <c r="C18" s="2">
        <v>689</v>
      </c>
      <c r="D18" s="2">
        <v>17</v>
      </c>
      <c r="E18" s="3">
        <v>45623</v>
      </c>
      <c r="F18" s="2" t="s">
        <v>4</v>
      </c>
      <c r="G18" s="2" t="s">
        <v>3</v>
      </c>
      <c r="H18" s="2" t="s">
        <v>19</v>
      </c>
      <c r="I18" s="2" t="s">
        <v>96</v>
      </c>
      <c r="J18" s="11">
        <f>(_xlfn.TEXTBEFORE(_xlfn.TEXTAFTER($I18,", ",,1),"-",,1,1,))*1</f>
        <v>122</v>
      </c>
      <c r="K18" s="11">
        <f>(_xlfn.TEXTBEFORE(_xlfn.TEXTAFTER($I18,"-",,1)," ",,1,1,))*1</f>
        <v>103</v>
      </c>
      <c r="L18" s="2" t="str">
        <f>LEFT('    #StatsTable'!$I18,1)</f>
        <v>W</v>
      </c>
      <c r="M18" s="2">
        <f>IF('    #StatsTable'!$L18="W", M17+1,M17)</f>
        <v>10</v>
      </c>
      <c r="N18" s="2">
        <f>IF('    #StatsTable'!$L18="L",N17+1,N17)</f>
        <v>7</v>
      </c>
      <c r="O18" s="2" t="s">
        <v>0</v>
      </c>
      <c r="P18" s="4">
        <v>1.4006944444444445</v>
      </c>
      <c r="Q18" s="28">
        <v>13</v>
      </c>
      <c r="R18" s="28">
        <v>19</v>
      </c>
      <c r="S18" s="15">
        <v>0.68400000000000005</v>
      </c>
      <c r="T18" s="28">
        <v>2</v>
      </c>
      <c r="U18" s="28">
        <v>3</v>
      </c>
      <c r="V18" s="15">
        <v>0.66700000000000004</v>
      </c>
      <c r="W18" s="28">
        <v>11</v>
      </c>
      <c r="X18" s="28">
        <v>16</v>
      </c>
      <c r="Y18" s="15">
        <v>0.68799999999999994</v>
      </c>
      <c r="Z18" s="15">
        <v>0.73699999999999999</v>
      </c>
      <c r="AA18" s="28">
        <v>2</v>
      </c>
      <c r="AB18" s="28">
        <v>3</v>
      </c>
      <c r="AC18" s="15">
        <v>0.66700000000000004</v>
      </c>
      <c r="AD18" s="28">
        <v>3</v>
      </c>
      <c r="AE18" s="28">
        <v>7</v>
      </c>
      <c r="AF18" s="28">
        <v>10</v>
      </c>
      <c r="AG18" s="28">
        <v>7</v>
      </c>
      <c r="AH18" s="28">
        <v>1</v>
      </c>
      <c r="AI18" s="28">
        <v>1</v>
      </c>
      <c r="AJ18" s="28">
        <v>1</v>
      </c>
      <c r="AK18" s="28">
        <v>1</v>
      </c>
      <c r="AL18" s="28">
        <v>30</v>
      </c>
      <c r="AM18" s="2">
        <v>30.9</v>
      </c>
      <c r="AN18" s="2">
        <v>20</v>
      </c>
      <c r="AO18" s="16">
        <v>0.73799999999999999</v>
      </c>
      <c r="AP18" s="16">
        <v>0.73699999999999999</v>
      </c>
      <c r="AQ18" s="16">
        <v>0.11900000000000001</v>
      </c>
      <c r="AR18" s="16">
        <v>0.2</v>
      </c>
      <c r="AS18" s="16">
        <v>0.16600000000000001</v>
      </c>
      <c r="AT18" s="16">
        <v>0.36399999999999999</v>
      </c>
      <c r="AU18" s="16">
        <v>1.4999999999999999E-2</v>
      </c>
      <c r="AV18" s="16">
        <v>0.03</v>
      </c>
      <c r="AW18" s="16">
        <v>4.7E-2</v>
      </c>
      <c r="AX18" s="14">
        <v>0.28999999999999998</v>
      </c>
      <c r="AY18" s="19">
        <v>154</v>
      </c>
      <c r="AZ18" s="19">
        <v>107</v>
      </c>
      <c r="BA18" s="17">
        <v>30.9</v>
      </c>
      <c r="BB18" s="17">
        <v>15.3</v>
      </c>
    </row>
    <row r="19" spans="2:54" ht="16" x14ac:dyDescent="0.2">
      <c r="B19" s="1">
        <v>15</v>
      </c>
      <c r="C19" s="2">
        <v>690</v>
      </c>
      <c r="D19" s="2">
        <v>18</v>
      </c>
      <c r="E19" s="3">
        <v>45627</v>
      </c>
      <c r="F19" s="2" t="s">
        <v>4</v>
      </c>
      <c r="G19" s="2" t="s">
        <v>3</v>
      </c>
      <c r="H19" s="2" t="s">
        <v>76</v>
      </c>
      <c r="I19" s="2" t="s">
        <v>95</v>
      </c>
      <c r="J19" s="11">
        <f>(_xlfn.TEXTBEFORE(_xlfn.TEXTAFTER($I19,", ",,1),"-",,1,1,))*1</f>
        <v>122</v>
      </c>
      <c r="K19" s="11">
        <f>(_xlfn.TEXTBEFORE(_xlfn.TEXTAFTER($I19,"-",,1)," ",,1,1,))*1</f>
        <v>126</v>
      </c>
      <c r="L19" s="2" t="str">
        <f>LEFT('    #StatsTable'!$I19,1)</f>
        <v>L</v>
      </c>
      <c r="M19" s="2">
        <f>IF('    #StatsTable'!$L19="W", M18+1,M18)</f>
        <v>10</v>
      </c>
      <c r="N19" s="2">
        <f>IF('    #StatsTable'!$L19="L",N18+1,N18)</f>
        <v>8</v>
      </c>
      <c r="O19" s="2" t="s">
        <v>0</v>
      </c>
      <c r="P19" s="4">
        <v>1.6277777777777778</v>
      </c>
      <c r="Q19" s="28">
        <v>12</v>
      </c>
      <c r="R19" s="28">
        <v>24</v>
      </c>
      <c r="S19" s="15">
        <v>0.5</v>
      </c>
      <c r="T19" s="28">
        <v>2</v>
      </c>
      <c r="U19" s="28">
        <v>7</v>
      </c>
      <c r="V19" s="15">
        <v>0.28599999999999998</v>
      </c>
      <c r="W19" s="28">
        <v>10</v>
      </c>
      <c r="X19" s="28">
        <v>17</v>
      </c>
      <c r="Y19" s="15">
        <v>0.58799999999999997</v>
      </c>
      <c r="Z19" s="15">
        <v>0.54200000000000004</v>
      </c>
      <c r="AA19" s="28">
        <v>2</v>
      </c>
      <c r="AB19" s="28">
        <v>4</v>
      </c>
      <c r="AC19" s="15">
        <v>0.5</v>
      </c>
      <c r="AD19" s="28">
        <v>3</v>
      </c>
      <c r="AE19" s="28">
        <v>11</v>
      </c>
      <c r="AF19" s="28">
        <v>14</v>
      </c>
      <c r="AG19" s="28">
        <v>11</v>
      </c>
      <c r="AH19" s="28">
        <v>1</v>
      </c>
      <c r="AI19" s="28">
        <v>1</v>
      </c>
      <c r="AJ19" s="28">
        <v>5</v>
      </c>
      <c r="AK19" s="28">
        <v>3</v>
      </c>
      <c r="AL19" s="28">
        <v>28</v>
      </c>
      <c r="AM19" s="2">
        <v>23.8</v>
      </c>
      <c r="AN19" s="2">
        <v>-7</v>
      </c>
      <c r="AO19" s="16">
        <v>0.54300000000000004</v>
      </c>
      <c r="AP19" s="16">
        <v>0.54200000000000004</v>
      </c>
      <c r="AQ19" s="16">
        <v>0.1</v>
      </c>
      <c r="AR19" s="16">
        <v>0.307</v>
      </c>
      <c r="AS19" s="16">
        <v>0.21199999999999999</v>
      </c>
      <c r="AT19" s="16">
        <v>0.373</v>
      </c>
      <c r="AU19" s="16">
        <v>1.2E-2</v>
      </c>
      <c r="AV19" s="16">
        <v>2.4E-2</v>
      </c>
      <c r="AW19" s="16">
        <v>0.16300000000000001</v>
      </c>
      <c r="AX19" s="14">
        <v>0.34200000000000003</v>
      </c>
      <c r="AY19" s="19">
        <v>109</v>
      </c>
      <c r="AZ19" s="19">
        <v>120</v>
      </c>
      <c r="BA19" s="17">
        <v>23.8</v>
      </c>
      <c r="BB19" s="17">
        <v>3.7</v>
      </c>
    </row>
    <row r="20" spans="2:54" ht="16" x14ac:dyDescent="0.2">
      <c r="B20" s="1">
        <v>16</v>
      </c>
      <c r="C20" s="2">
        <v>691</v>
      </c>
      <c r="D20" s="2">
        <v>19</v>
      </c>
      <c r="E20" s="3">
        <v>45629</v>
      </c>
      <c r="F20" s="2" t="s">
        <v>4</v>
      </c>
      <c r="G20" s="2"/>
      <c r="H20" s="2" t="s">
        <v>12</v>
      </c>
      <c r="I20" s="2" t="s">
        <v>94</v>
      </c>
      <c r="J20" s="11">
        <f>(_xlfn.TEXTBEFORE(_xlfn.TEXTAFTER($I20,", ",,1),"-",,1,1,))*1</f>
        <v>119</v>
      </c>
      <c r="K20" s="11">
        <f>(_xlfn.TEXTBEFORE(_xlfn.TEXTAFTER($I20,"-",,1)," ",,1,1,))*1</f>
        <v>115</v>
      </c>
      <c r="L20" s="2" t="str">
        <f>LEFT('    #StatsTable'!$I20,1)</f>
        <v>W</v>
      </c>
      <c r="M20" s="2">
        <f>IF('    #StatsTable'!$L20="W", M19+1,M19)</f>
        <v>11</v>
      </c>
      <c r="N20" s="2">
        <f>IF('    #StatsTable'!$L20="L",N19+1,N19)</f>
        <v>8</v>
      </c>
      <c r="O20" s="2" t="s">
        <v>0</v>
      </c>
      <c r="P20" s="4">
        <v>1.6680555555555556</v>
      </c>
      <c r="Q20" s="28">
        <v>14</v>
      </c>
      <c r="R20" s="28">
        <v>24</v>
      </c>
      <c r="S20" s="15">
        <v>0.58299999999999996</v>
      </c>
      <c r="T20" s="28">
        <v>3</v>
      </c>
      <c r="U20" s="28">
        <v>4</v>
      </c>
      <c r="V20" s="15">
        <v>0.75</v>
      </c>
      <c r="W20" s="28">
        <v>11</v>
      </c>
      <c r="X20" s="28">
        <v>20</v>
      </c>
      <c r="Y20" s="15">
        <v>0.55000000000000004</v>
      </c>
      <c r="Z20" s="15">
        <v>0.64600000000000002</v>
      </c>
      <c r="AA20" s="28">
        <v>7</v>
      </c>
      <c r="AB20" s="28">
        <v>9</v>
      </c>
      <c r="AC20" s="15">
        <v>0.77800000000000002</v>
      </c>
      <c r="AD20" s="28">
        <v>2</v>
      </c>
      <c r="AE20" s="28">
        <v>8</v>
      </c>
      <c r="AF20" s="28">
        <v>10</v>
      </c>
      <c r="AG20" s="28">
        <v>6</v>
      </c>
      <c r="AH20" s="28">
        <v>5</v>
      </c>
      <c r="AI20" s="28">
        <v>1</v>
      </c>
      <c r="AJ20" s="28">
        <v>4</v>
      </c>
      <c r="AK20" s="28">
        <v>1</v>
      </c>
      <c r="AL20" s="28">
        <v>38</v>
      </c>
      <c r="AM20" s="2">
        <v>35.299999999999997</v>
      </c>
      <c r="AN20" s="2">
        <v>23</v>
      </c>
      <c r="AO20" s="16">
        <v>0.68</v>
      </c>
      <c r="AP20" s="16">
        <v>0.64600000000000002</v>
      </c>
      <c r="AQ20" s="16">
        <v>5.7999999999999996E-2</v>
      </c>
      <c r="AR20" s="16">
        <v>0.21299999999999999</v>
      </c>
      <c r="AS20" s="16">
        <v>0.13900000000000001</v>
      </c>
      <c r="AT20" s="16">
        <v>0.31</v>
      </c>
      <c r="AU20" s="16">
        <v>5.7000000000000002E-2</v>
      </c>
      <c r="AV20" s="16">
        <v>2.1000000000000001E-2</v>
      </c>
      <c r="AW20" s="16">
        <v>0.125</v>
      </c>
      <c r="AX20" s="14">
        <v>0.35</v>
      </c>
      <c r="AY20" s="19">
        <v>120</v>
      </c>
      <c r="AZ20" s="19">
        <v>100</v>
      </c>
      <c r="BA20" s="17">
        <v>35.299999999999997</v>
      </c>
      <c r="BB20" s="17">
        <v>14.2</v>
      </c>
    </row>
    <row r="21" spans="2:54" ht="16" x14ac:dyDescent="0.2">
      <c r="B21" s="1">
        <v>17</v>
      </c>
      <c r="C21" s="2">
        <v>692</v>
      </c>
      <c r="D21" s="2">
        <v>20</v>
      </c>
      <c r="E21" s="3">
        <v>45631</v>
      </c>
      <c r="F21" s="2" t="s">
        <v>4</v>
      </c>
      <c r="G21" s="2" t="s">
        <v>3</v>
      </c>
      <c r="H21" s="2" t="s">
        <v>84</v>
      </c>
      <c r="I21" s="2" t="s">
        <v>93</v>
      </c>
      <c r="J21" s="11">
        <f>(_xlfn.TEXTBEFORE(_xlfn.TEXTAFTER($I21,", ",,1),"-",,1,1,))*1</f>
        <v>114</v>
      </c>
      <c r="K21" s="11">
        <f>(_xlfn.TEXTBEFORE(_xlfn.TEXTAFTER($I21,"-",,1)," ",,1,1,))*1</f>
        <v>126</v>
      </c>
      <c r="L21" s="2" t="str">
        <f>LEFT('    #StatsTable'!$I21,1)</f>
        <v>L</v>
      </c>
      <c r="M21" s="2">
        <f>IF('    #StatsTable'!$L21="W", M20+1,M20)</f>
        <v>11</v>
      </c>
      <c r="N21" s="2">
        <f>IF('    #StatsTable'!$L21="L",N20+1,N20)</f>
        <v>9</v>
      </c>
      <c r="O21" s="2" t="s">
        <v>0</v>
      </c>
      <c r="P21" s="4">
        <v>1.6111111111111112</v>
      </c>
      <c r="Q21" s="28">
        <v>13</v>
      </c>
      <c r="R21" s="28">
        <v>26</v>
      </c>
      <c r="S21" s="15">
        <v>0.5</v>
      </c>
      <c r="T21" s="28">
        <v>0</v>
      </c>
      <c r="U21" s="28">
        <v>3</v>
      </c>
      <c r="V21" s="15">
        <v>0</v>
      </c>
      <c r="W21" s="28">
        <v>13</v>
      </c>
      <c r="X21" s="28">
        <v>23</v>
      </c>
      <c r="Y21" s="15">
        <v>0.56499999999999995</v>
      </c>
      <c r="Z21" s="15">
        <v>0.5</v>
      </c>
      <c r="AA21" s="28">
        <v>1</v>
      </c>
      <c r="AB21" s="28">
        <v>1</v>
      </c>
      <c r="AC21" s="15">
        <v>1</v>
      </c>
      <c r="AD21" s="28">
        <v>3</v>
      </c>
      <c r="AE21" s="28">
        <v>17</v>
      </c>
      <c r="AF21" s="28">
        <v>20</v>
      </c>
      <c r="AG21" s="28">
        <v>11</v>
      </c>
      <c r="AH21" s="28">
        <v>3</v>
      </c>
      <c r="AI21" s="28">
        <v>0</v>
      </c>
      <c r="AJ21" s="28">
        <v>3</v>
      </c>
      <c r="AK21" s="28">
        <v>3</v>
      </c>
      <c r="AL21" s="28">
        <v>27</v>
      </c>
      <c r="AM21" s="2">
        <v>27.7</v>
      </c>
      <c r="AN21" s="2">
        <v>-8</v>
      </c>
      <c r="AO21" s="16">
        <v>0.51100000000000001</v>
      </c>
      <c r="AP21" s="16">
        <v>0.5</v>
      </c>
      <c r="AQ21" s="16">
        <v>7.9000000000000001E-2</v>
      </c>
      <c r="AR21" s="16">
        <v>0.43099999999999999</v>
      </c>
      <c r="AS21" s="16">
        <v>0.25900000000000001</v>
      </c>
      <c r="AT21" s="16">
        <v>0.45700000000000002</v>
      </c>
      <c r="AU21" s="16">
        <v>3.4000000000000002E-2</v>
      </c>
      <c r="AV21" s="16">
        <v>0</v>
      </c>
      <c r="AW21" s="16">
        <v>0.10199999999999999</v>
      </c>
      <c r="AX21" s="14">
        <v>0.3</v>
      </c>
      <c r="AY21" s="19">
        <v>109</v>
      </c>
      <c r="AZ21" s="19">
        <v>108</v>
      </c>
      <c r="BA21" s="17">
        <v>27.7</v>
      </c>
      <c r="BB21" s="17">
        <v>10.3</v>
      </c>
    </row>
    <row r="22" spans="2:54" ht="16" x14ac:dyDescent="0.2">
      <c r="B22" s="1">
        <v>18</v>
      </c>
      <c r="C22" s="2">
        <v>693</v>
      </c>
      <c r="D22" s="2">
        <v>21</v>
      </c>
      <c r="E22" s="3">
        <v>45633</v>
      </c>
      <c r="F22" s="2" t="s">
        <v>4</v>
      </c>
      <c r="G22" s="2" t="s">
        <v>3</v>
      </c>
      <c r="H22" s="2" t="s">
        <v>31</v>
      </c>
      <c r="I22" s="2" t="s">
        <v>92</v>
      </c>
      <c r="J22" s="11">
        <f>(_xlfn.TEXTBEFORE(_xlfn.TEXTAFTER($I22,", ",,1),"-",,1,1,))*1</f>
        <v>113</v>
      </c>
      <c r="K22" s="11">
        <f>(_xlfn.TEXTBEFORE(_xlfn.TEXTAFTER($I22,"-",,1)," ",,1,1,))*1</f>
        <v>122</v>
      </c>
      <c r="L22" s="2" t="str">
        <f>LEFT('    #StatsTable'!$I22,1)</f>
        <v>L</v>
      </c>
      <c r="M22" s="2">
        <f>IF('    #StatsTable'!$L22="W", M21+1,M21)</f>
        <v>11</v>
      </c>
      <c r="N22" s="2">
        <f>IF('    #StatsTable'!$L22="L",N21+1,N21)</f>
        <v>10</v>
      </c>
      <c r="O22" s="2" t="s">
        <v>0</v>
      </c>
      <c r="P22" s="4">
        <v>1.6104166666666666</v>
      </c>
      <c r="Q22" s="28">
        <v>22</v>
      </c>
      <c r="R22" s="28">
        <v>39</v>
      </c>
      <c r="S22" s="15">
        <v>0.56399999999999995</v>
      </c>
      <c r="T22" s="28">
        <v>3</v>
      </c>
      <c r="U22" s="28">
        <v>6</v>
      </c>
      <c r="V22" s="15">
        <v>0.5</v>
      </c>
      <c r="W22" s="28">
        <v>19</v>
      </c>
      <c r="X22" s="28">
        <v>33</v>
      </c>
      <c r="Y22" s="15">
        <v>0.57599999999999996</v>
      </c>
      <c r="Z22" s="15">
        <v>0.60299999999999998</v>
      </c>
      <c r="AA22" s="28">
        <v>9</v>
      </c>
      <c r="AB22" s="28">
        <v>13</v>
      </c>
      <c r="AC22" s="15">
        <v>0.69199999999999995</v>
      </c>
      <c r="AD22" s="28">
        <v>7</v>
      </c>
      <c r="AE22" s="28">
        <v>9</v>
      </c>
      <c r="AF22" s="28">
        <v>16</v>
      </c>
      <c r="AG22" s="28">
        <v>8</v>
      </c>
      <c r="AH22" s="28">
        <v>1</v>
      </c>
      <c r="AI22" s="28">
        <v>0</v>
      </c>
      <c r="AJ22" s="28">
        <v>5</v>
      </c>
      <c r="AK22" s="28">
        <v>5</v>
      </c>
      <c r="AL22" s="28">
        <v>56</v>
      </c>
      <c r="AM22" s="2">
        <v>43.1</v>
      </c>
      <c r="AN22" s="2">
        <v>-1</v>
      </c>
      <c r="AO22" s="16">
        <v>0.626</v>
      </c>
      <c r="AP22" s="16">
        <v>0.60299999999999998</v>
      </c>
      <c r="AQ22" s="16">
        <v>0.185</v>
      </c>
      <c r="AR22" s="16">
        <v>0.23800000000000002</v>
      </c>
      <c r="AS22" s="16">
        <v>0.21100000000000002</v>
      </c>
      <c r="AT22" s="16">
        <v>0.53200000000000003</v>
      </c>
      <c r="AU22" s="16">
        <v>1.2E-2</v>
      </c>
      <c r="AV22" s="16">
        <v>0</v>
      </c>
      <c r="AW22" s="16">
        <v>0.10099999999999999</v>
      </c>
      <c r="AX22" s="14">
        <v>0.50700000000000001</v>
      </c>
      <c r="AY22" s="19">
        <v>124</v>
      </c>
      <c r="AZ22" s="19">
        <v>118</v>
      </c>
      <c r="BA22" s="17">
        <v>43.1</v>
      </c>
      <c r="BB22" s="17">
        <v>16.899999999999999</v>
      </c>
    </row>
    <row r="23" spans="2:54" ht="16" x14ac:dyDescent="0.2">
      <c r="B23" s="1">
        <v>19</v>
      </c>
      <c r="C23" s="2">
        <v>694</v>
      </c>
      <c r="D23" s="2">
        <v>22</v>
      </c>
      <c r="E23" s="3">
        <v>45634</v>
      </c>
      <c r="F23" s="2" t="s">
        <v>4</v>
      </c>
      <c r="G23" s="2" t="s">
        <v>3</v>
      </c>
      <c r="H23" s="2" t="s">
        <v>81</v>
      </c>
      <c r="I23" s="2" t="s">
        <v>91</v>
      </c>
      <c r="J23" s="11">
        <f>(_xlfn.TEXTBEFORE(_xlfn.TEXTAFTER($I23,", ",,1),"-",,1,1,))*1</f>
        <v>141</v>
      </c>
      <c r="K23" s="11">
        <f>(_xlfn.TEXTBEFORE(_xlfn.TEXTAFTER($I23,"-",,1)," ",,1,1,))*1</f>
        <v>111</v>
      </c>
      <c r="L23" s="2" t="str">
        <f>LEFT('    #StatsTable'!$I23,1)</f>
        <v>W</v>
      </c>
      <c r="M23" s="2">
        <f>IF('    #StatsTable'!$L23="W", M22+1,M22)</f>
        <v>12</v>
      </c>
      <c r="N23" s="2">
        <f>IF('    #StatsTable'!$L23="L",N22+1,N22)</f>
        <v>10</v>
      </c>
      <c r="O23" s="2" t="s">
        <v>0</v>
      </c>
      <c r="P23" s="4">
        <v>1.4604166666666667</v>
      </c>
      <c r="Q23" s="28">
        <v>17</v>
      </c>
      <c r="R23" s="28">
        <v>29</v>
      </c>
      <c r="S23" s="15">
        <v>0.58599999999999997</v>
      </c>
      <c r="T23" s="28">
        <v>3</v>
      </c>
      <c r="U23" s="28">
        <v>6</v>
      </c>
      <c r="V23" s="15">
        <v>0.5</v>
      </c>
      <c r="W23" s="28">
        <v>14</v>
      </c>
      <c r="X23" s="28">
        <v>23</v>
      </c>
      <c r="Y23" s="15">
        <v>0.60899999999999999</v>
      </c>
      <c r="Z23" s="15">
        <v>0.63800000000000001</v>
      </c>
      <c r="AA23" s="28">
        <v>11</v>
      </c>
      <c r="AB23" s="28">
        <v>13</v>
      </c>
      <c r="AC23" s="15">
        <v>0.84599999999999997</v>
      </c>
      <c r="AD23" s="28">
        <v>3</v>
      </c>
      <c r="AE23" s="28">
        <v>11</v>
      </c>
      <c r="AF23" s="28">
        <v>14</v>
      </c>
      <c r="AG23" s="28">
        <v>8</v>
      </c>
      <c r="AH23" s="28">
        <v>3</v>
      </c>
      <c r="AI23" s="28">
        <v>0</v>
      </c>
      <c r="AJ23" s="28">
        <v>3</v>
      </c>
      <c r="AK23" s="28">
        <v>2</v>
      </c>
      <c r="AL23" s="28">
        <v>48</v>
      </c>
      <c r="AM23" s="2">
        <v>43.9</v>
      </c>
      <c r="AN23" s="2">
        <v>25</v>
      </c>
      <c r="AO23" s="16">
        <v>0.69099999999999995</v>
      </c>
      <c r="AP23" s="16">
        <v>0.63800000000000001</v>
      </c>
      <c r="AQ23" s="16">
        <v>0.124</v>
      </c>
      <c r="AR23" s="16">
        <v>0.27399999999999997</v>
      </c>
      <c r="AS23" s="16">
        <v>0.218</v>
      </c>
      <c r="AT23" s="16">
        <v>0.33500000000000002</v>
      </c>
      <c r="AU23" s="16">
        <v>3.9E-2</v>
      </c>
      <c r="AV23" s="16">
        <v>0</v>
      </c>
      <c r="AW23" s="16">
        <v>0.08</v>
      </c>
      <c r="AX23" s="14">
        <v>0.43200000000000005</v>
      </c>
      <c r="AY23" s="19">
        <v>137</v>
      </c>
      <c r="AZ23" s="19">
        <v>94</v>
      </c>
      <c r="BA23" s="17">
        <v>43.9</v>
      </c>
      <c r="BB23" s="17">
        <v>15.7</v>
      </c>
    </row>
    <row r="24" spans="2:54" ht="16" x14ac:dyDescent="0.2">
      <c r="B24" s="1">
        <v>20</v>
      </c>
      <c r="C24" s="2">
        <v>695</v>
      </c>
      <c r="D24" s="2">
        <v>23</v>
      </c>
      <c r="E24" s="3">
        <v>45639</v>
      </c>
      <c r="F24" s="2" t="s">
        <v>4</v>
      </c>
      <c r="G24" s="2"/>
      <c r="H24" s="2" t="s">
        <v>76</v>
      </c>
      <c r="I24" s="2" t="s">
        <v>90</v>
      </c>
      <c r="J24" s="11">
        <f>(_xlfn.TEXTBEFORE(_xlfn.TEXTAFTER($I24,", ",,1),"-",,1,1,))*1</f>
        <v>120</v>
      </c>
      <c r="K24" s="11">
        <f>(_xlfn.TEXTBEFORE(_xlfn.TEXTAFTER($I24,"-",,1)," ",,1,1,))*1</f>
        <v>98</v>
      </c>
      <c r="L24" s="2" t="str">
        <f>LEFT('    #StatsTable'!$I24,1)</f>
        <v>W</v>
      </c>
      <c r="M24" s="2">
        <f>IF('    #StatsTable'!$L24="W", M23+1,M23)</f>
        <v>13</v>
      </c>
      <c r="N24" s="2">
        <f>IF('    #StatsTable'!$L24="L",N23+1,N23)</f>
        <v>10</v>
      </c>
      <c r="O24" s="2" t="s">
        <v>0</v>
      </c>
      <c r="P24" s="4">
        <v>1.2479166666666666</v>
      </c>
      <c r="Q24" s="28">
        <v>6</v>
      </c>
      <c r="R24" s="28">
        <v>9</v>
      </c>
      <c r="S24" s="15">
        <v>0.66700000000000004</v>
      </c>
      <c r="T24" s="28">
        <v>2</v>
      </c>
      <c r="U24" s="28">
        <v>2</v>
      </c>
      <c r="V24" s="15">
        <v>1</v>
      </c>
      <c r="W24" s="28">
        <v>4</v>
      </c>
      <c r="X24" s="28">
        <v>7</v>
      </c>
      <c r="Y24" s="15">
        <v>0.57099999999999995</v>
      </c>
      <c r="Z24" s="15">
        <v>0.77800000000000002</v>
      </c>
      <c r="AA24" s="28">
        <v>2</v>
      </c>
      <c r="AB24" s="28">
        <v>4</v>
      </c>
      <c r="AC24" s="15">
        <v>0.5</v>
      </c>
      <c r="AD24" s="28">
        <v>0</v>
      </c>
      <c r="AE24" s="28">
        <v>7</v>
      </c>
      <c r="AF24" s="28">
        <v>7</v>
      </c>
      <c r="AG24" s="28">
        <v>2</v>
      </c>
      <c r="AH24" s="28">
        <v>2</v>
      </c>
      <c r="AI24" s="28">
        <v>0</v>
      </c>
      <c r="AJ24" s="28">
        <v>5</v>
      </c>
      <c r="AK24" s="28">
        <v>2</v>
      </c>
      <c r="AL24" s="28">
        <v>16</v>
      </c>
      <c r="AM24" s="2">
        <v>11</v>
      </c>
      <c r="AN24" s="2">
        <v>14</v>
      </c>
      <c r="AO24" s="16">
        <v>0.74299999999999999</v>
      </c>
      <c r="AP24" s="16">
        <v>0.77800000000000002</v>
      </c>
      <c r="AQ24" s="16">
        <v>0</v>
      </c>
      <c r="AR24" s="16">
        <v>0.24399999999999999</v>
      </c>
      <c r="AS24" s="16">
        <v>0.14599999999999999</v>
      </c>
      <c r="AT24" s="16">
        <v>9.9000000000000005E-2</v>
      </c>
      <c r="AU24" s="16">
        <v>3.1E-2</v>
      </c>
      <c r="AV24" s="16">
        <v>0</v>
      </c>
      <c r="AW24" s="16">
        <v>0.317</v>
      </c>
      <c r="AX24" s="14">
        <v>0.223</v>
      </c>
      <c r="AY24" s="19">
        <v>97</v>
      </c>
      <c r="AZ24" s="19">
        <v>93</v>
      </c>
      <c r="BA24" s="17">
        <v>11</v>
      </c>
      <c r="BB24" s="17">
        <v>0.4</v>
      </c>
    </row>
    <row r="25" spans="2:54" ht="16" x14ac:dyDescent="0.2">
      <c r="B25" s="1">
        <v>21</v>
      </c>
      <c r="C25" s="2">
        <v>696</v>
      </c>
      <c r="D25" s="2">
        <v>24</v>
      </c>
      <c r="E25" s="3">
        <v>45642</v>
      </c>
      <c r="F25" s="2" t="s">
        <v>4</v>
      </c>
      <c r="G25" s="2" t="s">
        <v>3</v>
      </c>
      <c r="H25" s="2" t="s">
        <v>8</v>
      </c>
      <c r="I25" s="2" t="s">
        <v>89</v>
      </c>
      <c r="J25" s="11">
        <f>(_xlfn.TEXTBEFORE(_xlfn.TEXTAFTER($I25,", ",,1),"-",,1,1,))*1</f>
        <v>130</v>
      </c>
      <c r="K25" s="11">
        <f>(_xlfn.TEXTBEFORE(_xlfn.TEXTAFTER($I25,"-",,1)," ",,1,1,))*1</f>
        <v>129</v>
      </c>
      <c r="L25" s="2" t="str">
        <f>LEFT('    #StatsTable'!$I25,1)</f>
        <v>W</v>
      </c>
      <c r="M25" s="2">
        <f>IF('    #StatsTable'!$L25="W", M24+1,M24)</f>
        <v>14</v>
      </c>
      <c r="N25" s="2">
        <f>IF('    #StatsTable'!$L25="L",N24+1,N24)</f>
        <v>10</v>
      </c>
      <c r="O25" s="2" t="s">
        <v>0</v>
      </c>
      <c r="P25" s="4">
        <v>1.5958333333333334</v>
      </c>
      <c r="Q25" s="28">
        <v>8</v>
      </c>
      <c r="R25" s="28">
        <v>19</v>
      </c>
      <c r="S25" s="15">
        <v>0.42099999999999999</v>
      </c>
      <c r="T25" s="28">
        <v>1</v>
      </c>
      <c r="U25" s="28">
        <v>6</v>
      </c>
      <c r="V25" s="15">
        <v>0.16700000000000001</v>
      </c>
      <c r="W25" s="28">
        <v>7</v>
      </c>
      <c r="X25" s="28">
        <v>13</v>
      </c>
      <c r="Y25" s="15">
        <v>0.53800000000000003</v>
      </c>
      <c r="Z25" s="15">
        <v>0.44700000000000001</v>
      </c>
      <c r="AA25" s="28">
        <v>3</v>
      </c>
      <c r="AB25" s="28">
        <v>4</v>
      </c>
      <c r="AC25" s="15">
        <v>0.75</v>
      </c>
      <c r="AD25" s="28">
        <v>2</v>
      </c>
      <c r="AE25" s="28">
        <v>12</v>
      </c>
      <c r="AF25" s="28">
        <v>14</v>
      </c>
      <c r="AG25" s="28">
        <v>13</v>
      </c>
      <c r="AH25" s="28">
        <v>2</v>
      </c>
      <c r="AI25" s="28">
        <v>1</v>
      </c>
      <c r="AJ25" s="28">
        <v>5</v>
      </c>
      <c r="AK25" s="28">
        <v>0</v>
      </c>
      <c r="AL25" s="28">
        <v>20</v>
      </c>
      <c r="AM25" s="2">
        <v>21.3</v>
      </c>
      <c r="AN25" s="2">
        <v>4</v>
      </c>
      <c r="AO25" s="16">
        <v>0.48199999999999998</v>
      </c>
      <c r="AP25" s="16">
        <v>0.44700000000000001</v>
      </c>
      <c r="AQ25" s="16">
        <v>5.4000000000000006E-2</v>
      </c>
      <c r="AR25" s="16">
        <v>0.29499999999999998</v>
      </c>
      <c r="AS25" s="16">
        <v>0.18100000000000002</v>
      </c>
      <c r="AT25" s="16">
        <v>0.39799999999999996</v>
      </c>
      <c r="AU25" s="16">
        <v>2.3E-2</v>
      </c>
      <c r="AV25" s="16">
        <v>1.9E-2</v>
      </c>
      <c r="AW25" s="16">
        <v>0.19399999999999998</v>
      </c>
      <c r="AX25" s="14">
        <v>0.253</v>
      </c>
      <c r="AY25" s="19">
        <v>105</v>
      </c>
      <c r="AZ25" s="19">
        <v>113</v>
      </c>
      <c r="BA25" s="17">
        <v>21.3</v>
      </c>
      <c r="BB25" s="17">
        <v>4.5</v>
      </c>
    </row>
    <row r="26" spans="2:54" ht="16" x14ac:dyDescent="0.2">
      <c r="B26" s="1">
        <v>22</v>
      </c>
      <c r="C26" s="2">
        <v>697</v>
      </c>
      <c r="D26" s="2">
        <v>25</v>
      </c>
      <c r="E26" s="3">
        <v>45645</v>
      </c>
      <c r="F26" s="2" t="s">
        <v>4</v>
      </c>
      <c r="G26" s="2" t="s">
        <v>3</v>
      </c>
      <c r="H26" s="2" t="s">
        <v>26</v>
      </c>
      <c r="I26" s="2" t="s">
        <v>88</v>
      </c>
      <c r="J26" s="11">
        <f>(_xlfn.TEXTBEFORE(_xlfn.TEXTAFTER($I26,", ",,1),"-",,1,1,))*1</f>
        <v>124</v>
      </c>
      <c r="K26" s="11">
        <f>(_xlfn.TEXTBEFORE(_xlfn.TEXTAFTER($I26,"-",,1)," ",,1,1,))*1</f>
        <v>126</v>
      </c>
      <c r="L26" s="2" t="str">
        <f>LEFT('    #StatsTable'!$I26,1)</f>
        <v>L</v>
      </c>
      <c r="M26" s="2">
        <f>IF('    #StatsTable'!$L26="W", M25+1,M25)</f>
        <v>14</v>
      </c>
      <c r="N26" s="2">
        <f>IF('    #StatsTable'!$L26="L",N25+1,N25)</f>
        <v>11</v>
      </c>
      <c r="O26" s="2" t="s">
        <v>0</v>
      </c>
      <c r="P26" s="4">
        <v>1.5256944444444445</v>
      </c>
      <c r="Q26" s="28">
        <v>13</v>
      </c>
      <c r="R26" s="28">
        <v>18</v>
      </c>
      <c r="S26" s="15">
        <v>0.72199999999999998</v>
      </c>
      <c r="T26" s="28">
        <v>4</v>
      </c>
      <c r="U26" s="28">
        <v>6</v>
      </c>
      <c r="V26" s="15">
        <v>0.66700000000000004</v>
      </c>
      <c r="W26" s="28">
        <v>9</v>
      </c>
      <c r="X26" s="28">
        <v>12</v>
      </c>
      <c r="Y26" s="15">
        <v>0.75</v>
      </c>
      <c r="Z26" s="15">
        <v>0.83299999999999996</v>
      </c>
      <c r="AA26" s="28">
        <v>4</v>
      </c>
      <c r="AB26" s="28">
        <v>4</v>
      </c>
      <c r="AC26" s="15">
        <v>1</v>
      </c>
      <c r="AD26" s="28">
        <v>0</v>
      </c>
      <c r="AE26" s="28">
        <v>6</v>
      </c>
      <c r="AF26" s="28">
        <v>6</v>
      </c>
      <c r="AG26" s="28">
        <v>8</v>
      </c>
      <c r="AH26" s="28">
        <v>1</v>
      </c>
      <c r="AI26" s="28">
        <v>0</v>
      </c>
      <c r="AJ26" s="28">
        <v>3</v>
      </c>
      <c r="AK26" s="28">
        <v>4</v>
      </c>
      <c r="AL26" s="28">
        <v>34</v>
      </c>
      <c r="AM26" s="2">
        <v>30.4</v>
      </c>
      <c r="AN26" s="2">
        <v>-5</v>
      </c>
      <c r="AO26" s="16">
        <v>0.86</v>
      </c>
      <c r="AP26" s="16">
        <v>0.83299999999999996</v>
      </c>
      <c r="AQ26" s="16">
        <v>0</v>
      </c>
      <c r="AR26" s="16">
        <v>0.16699999999999998</v>
      </c>
      <c r="AS26" s="16">
        <v>9.3000000000000013E-2</v>
      </c>
      <c r="AT26" s="16">
        <v>0.35</v>
      </c>
      <c r="AU26" s="16">
        <v>1.3000000000000001E-2</v>
      </c>
      <c r="AV26" s="16">
        <v>0</v>
      </c>
      <c r="AW26" s="16">
        <v>0.13200000000000001</v>
      </c>
      <c r="AX26" s="14">
        <v>0.27800000000000002</v>
      </c>
      <c r="AY26" s="19">
        <v>150</v>
      </c>
      <c r="AZ26" s="19">
        <v>128</v>
      </c>
      <c r="BA26" s="17">
        <v>30.4</v>
      </c>
      <c r="BB26" s="17">
        <v>12.8</v>
      </c>
    </row>
    <row r="27" spans="2:54" ht="16" x14ac:dyDescent="0.2">
      <c r="B27" s="1">
        <v>23</v>
      </c>
      <c r="C27" s="2">
        <v>698</v>
      </c>
      <c r="D27" s="2">
        <v>26</v>
      </c>
      <c r="E27" s="3">
        <v>45648</v>
      </c>
      <c r="F27" s="2" t="s">
        <v>4</v>
      </c>
      <c r="G27" s="2" t="s">
        <v>3</v>
      </c>
      <c r="H27" s="2" t="s">
        <v>55</v>
      </c>
      <c r="I27" s="2" t="s">
        <v>87</v>
      </c>
      <c r="J27" s="11">
        <f>(_xlfn.TEXTBEFORE(_xlfn.TEXTAFTER($I27,", ",,1),"-",,1,1,))*1</f>
        <v>132</v>
      </c>
      <c r="K27" s="11">
        <f>(_xlfn.TEXTBEFORE(_xlfn.TEXTAFTER($I27,"-",,1)," ",,1,1,))*1</f>
        <v>129</v>
      </c>
      <c r="L27" s="2" t="str">
        <f>LEFT('    #StatsTable'!$I27,1)</f>
        <v>W</v>
      </c>
      <c r="M27" s="2">
        <f>IF('    #StatsTable'!$L27="W", M26+1,M26)</f>
        <v>15</v>
      </c>
      <c r="N27" s="2">
        <f>IF('    #StatsTable'!$L27="L",N26+1,N26)</f>
        <v>11</v>
      </c>
      <c r="O27" s="2" t="s">
        <v>0</v>
      </c>
      <c r="P27" s="4">
        <v>1.773611111111111</v>
      </c>
      <c r="Q27" s="28">
        <v>11</v>
      </c>
      <c r="R27" s="28">
        <v>20</v>
      </c>
      <c r="S27" s="15">
        <v>0.55000000000000004</v>
      </c>
      <c r="T27" s="28">
        <v>2</v>
      </c>
      <c r="U27" s="28">
        <v>3</v>
      </c>
      <c r="V27" s="15">
        <v>0.66700000000000004</v>
      </c>
      <c r="W27" s="28">
        <v>9</v>
      </c>
      <c r="X27" s="28">
        <v>17</v>
      </c>
      <c r="Y27" s="15">
        <v>0.52900000000000003</v>
      </c>
      <c r="Z27" s="15">
        <v>0.6</v>
      </c>
      <c r="AA27" s="28">
        <v>3</v>
      </c>
      <c r="AB27" s="28">
        <v>5</v>
      </c>
      <c r="AC27" s="15">
        <v>0.6</v>
      </c>
      <c r="AD27" s="28">
        <v>2</v>
      </c>
      <c r="AE27" s="28">
        <v>11</v>
      </c>
      <c r="AF27" s="28">
        <v>13</v>
      </c>
      <c r="AG27" s="28">
        <v>10</v>
      </c>
      <c r="AH27" s="28">
        <v>1</v>
      </c>
      <c r="AI27" s="28">
        <v>1</v>
      </c>
      <c r="AJ27" s="28">
        <v>3</v>
      </c>
      <c r="AK27" s="28">
        <v>5</v>
      </c>
      <c r="AL27" s="28">
        <v>27</v>
      </c>
      <c r="AM27" s="2">
        <v>25</v>
      </c>
      <c r="AN27" s="2">
        <v>6</v>
      </c>
      <c r="AO27" s="16">
        <v>0.60799999999999998</v>
      </c>
      <c r="AP27" s="16">
        <v>0.6</v>
      </c>
      <c r="AQ27" s="16">
        <v>5.2000000000000005E-2</v>
      </c>
      <c r="AR27" s="16">
        <v>0.28000000000000003</v>
      </c>
      <c r="AS27" s="16">
        <v>0.16699999999999998</v>
      </c>
      <c r="AT27" s="16">
        <v>0.35299999999999998</v>
      </c>
      <c r="AU27" s="16">
        <v>0.01</v>
      </c>
      <c r="AV27" s="16">
        <v>1.8000000000000002E-2</v>
      </c>
      <c r="AW27" s="16">
        <v>0.11900000000000001</v>
      </c>
      <c r="AX27" s="14">
        <v>0.23600000000000002</v>
      </c>
      <c r="AY27" s="19">
        <v>124</v>
      </c>
      <c r="AZ27" s="19">
        <v>108</v>
      </c>
      <c r="BA27" s="17">
        <v>25</v>
      </c>
      <c r="BB27" s="17">
        <v>4.9000000000000004</v>
      </c>
    </row>
    <row r="28" spans="2:54" ht="16" x14ac:dyDescent="0.2">
      <c r="B28" s="1">
        <v>24</v>
      </c>
      <c r="C28" s="2">
        <v>699</v>
      </c>
      <c r="D28" s="2">
        <v>27</v>
      </c>
      <c r="E28" s="3">
        <v>45649</v>
      </c>
      <c r="F28" s="2" t="s">
        <v>4</v>
      </c>
      <c r="G28" s="2"/>
      <c r="H28" s="2" t="s">
        <v>38</v>
      </c>
      <c r="I28" s="2" t="s">
        <v>86</v>
      </c>
      <c r="J28" s="11">
        <f>(_xlfn.TEXTBEFORE(_xlfn.TEXTAFTER($I28,", ",,1),"-",,1,1,))*1</f>
        <v>117</v>
      </c>
      <c r="K28" s="11">
        <f>(_xlfn.TEXTBEFORE(_xlfn.TEXTAFTER($I28,"-",,1)," ",,1,1,))*1</f>
        <v>90</v>
      </c>
      <c r="L28" s="2" t="str">
        <f>LEFT('    #StatsTable'!$I28,1)</f>
        <v>W</v>
      </c>
      <c r="M28" s="2">
        <f>IF('    #StatsTable'!$L28="W", M27+1,M27)</f>
        <v>16</v>
      </c>
      <c r="N28" s="2">
        <f>IF('    #StatsTable'!$L28="L",N27+1,N27)</f>
        <v>11</v>
      </c>
      <c r="O28" s="2" t="s">
        <v>0</v>
      </c>
      <c r="P28" s="4">
        <v>1.2395833333333333</v>
      </c>
      <c r="Q28" s="28">
        <v>12</v>
      </c>
      <c r="R28" s="28">
        <v>17</v>
      </c>
      <c r="S28" s="15">
        <v>0.70599999999999996</v>
      </c>
      <c r="T28" s="28">
        <v>4</v>
      </c>
      <c r="U28" s="28">
        <v>6</v>
      </c>
      <c r="V28" s="15">
        <v>0.66700000000000004</v>
      </c>
      <c r="W28" s="28">
        <v>8</v>
      </c>
      <c r="X28" s="28">
        <v>11</v>
      </c>
      <c r="Y28" s="15">
        <v>0.72699999999999998</v>
      </c>
      <c r="Z28" s="15">
        <v>0.82399999999999995</v>
      </c>
      <c r="AA28" s="28">
        <v>4</v>
      </c>
      <c r="AB28" s="28">
        <v>5</v>
      </c>
      <c r="AC28" s="15">
        <v>0.8</v>
      </c>
      <c r="AD28" s="28">
        <v>0</v>
      </c>
      <c r="AE28" s="28">
        <v>2</v>
      </c>
      <c r="AF28" s="28">
        <v>2</v>
      </c>
      <c r="AG28" s="28">
        <v>7</v>
      </c>
      <c r="AH28" s="28">
        <v>0</v>
      </c>
      <c r="AI28" s="28">
        <v>0</v>
      </c>
      <c r="AJ28" s="28">
        <v>1</v>
      </c>
      <c r="AK28" s="28">
        <v>1</v>
      </c>
      <c r="AL28" s="28">
        <v>32</v>
      </c>
      <c r="AM28" s="2">
        <v>28.6</v>
      </c>
      <c r="AN28" s="2">
        <v>19</v>
      </c>
      <c r="AO28" s="16">
        <v>0.83299999999999996</v>
      </c>
      <c r="AP28" s="16">
        <v>0.82399999999999995</v>
      </c>
      <c r="AQ28" s="16">
        <v>0</v>
      </c>
      <c r="AR28" s="16">
        <v>7.2999999999999995E-2</v>
      </c>
      <c r="AS28" s="16">
        <v>3.7999999999999999E-2</v>
      </c>
      <c r="AT28" s="16">
        <v>0.42399999999999999</v>
      </c>
      <c r="AU28" s="16">
        <v>0</v>
      </c>
      <c r="AV28" s="16">
        <v>0</v>
      </c>
      <c r="AW28" s="16">
        <v>0.05</v>
      </c>
      <c r="AX28" s="14">
        <v>0.30499999999999999</v>
      </c>
      <c r="AY28" s="19">
        <v>162</v>
      </c>
      <c r="AZ28" s="19">
        <v>104</v>
      </c>
      <c r="BA28" s="17">
        <v>28.6</v>
      </c>
      <c r="BB28" s="17">
        <v>21.6</v>
      </c>
    </row>
    <row r="29" spans="2:54" ht="16" x14ac:dyDescent="0.2">
      <c r="B29" s="1">
        <v>25</v>
      </c>
      <c r="C29" s="2">
        <v>700</v>
      </c>
      <c r="D29" s="2">
        <v>28</v>
      </c>
      <c r="E29" s="3">
        <v>45651</v>
      </c>
      <c r="F29" s="2" t="s">
        <v>4</v>
      </c>
      <c r="G29" s="2" t="s">
        <v>3</v>
      </c>
      <c r="H29" s="2" t="s">
        <v>38</v>
      </c>
      <c r="I29" s="2" t="s">
        <v>85</v>
      </c>
      <c r="J29" s="11">
        <f>(_xlfn.TEXTBEFORE(_xlfn.TEXTAFTER($I29,", ",,1),"-",,1,1,))*1</f>
        <v>100</v>
      </c>
      <c r="K29" s="11">
        <f>(_xlfn.TEXTBEFORE(_xlfn.TEXTAFTER($I29,"-",,1)," ",,1,1,))*1</f>
        <v>110</v>
      </c>
      <c r="L29" s="2" t="str">
        <f>LEFT('    #StatsTable'!$I29,1)</f>
        <v>L</v>
      </c>
      <c r="M29" s="2">
        <f>IF('    #StatsTable'!$L29="W", M28+1,M28)</f>
        <v>16</v>
      </c>
      <c r="N29" s="2">
        <f>IF('    #StatsTable'!$L29="L",N28+1,N28)</f>
        <v>12</v>
      </c>
      <c r="O29" s="2" t="s">
        <v>0</v>
      </c>
      <c r="P29" s="4">
        <v>1.575</v>
      </c>
      <c r="Q29" s="28">
        <v>10</v>
      </c>
      <c r="R29" s="28">
        <v>19</v>
      </c>
      <c r="S29" s="15">
        <v>0.52600000000000002</v>
      </c>
      <c r="T29" s="28">
        <v>2</v>
      </c>
      <c r="U29" s="28">
        <v>7</v>
      </c>
      <c r="V29" s="15">
        <v>0.28599999999999998</v>
      </c>
      <c r="W29" s="28">
        <v>8</v>
      </c>
      <c r="X29" s="28">
        <v>12</v>
      </c>
      <c r="Y29" s="15">
        <v>0.66700000000000004</v>
      </c>
      <c r="Z29" s="15">
        <v>0.57899999999999996</v>
      </c>
      <c r="AA29" s="28">
        <v>3</v>
      </c>
      <c r="AB29" s="28">
        <v>4</v>
      </c>
      <c r="AC29" s="15">
        <v>0.75</v>
      </c>
      <c r="AD29" s="28">
        <v>5</v>
      </c>
      <c r="AE29" s="28">
        <v>10</v>
      </c>
      <c r="AF29" s="28">
        <v>15</v>
      </c>
      <c r="AG29" s="28">
        <v>2</v>
      </c>
      <c r="AH29" s="28">
        <v>2</v>
      </c>
      <c r="AI29" s="28">
        <v>0</v>
      </c>
      <c r="AJ29" s="28">
        <v>2</v>
      </c>
      <c r="AK29" s="28">
        <v>1</v>
      </c>
      <c r="AL29" s="28">
        <v>25</v>
      </c>
      <c r="AM29" s="2">
        <v>22.8</v>
      </c>
      <c r="AN29" s="2">
        <v>-3</v>
      </c>
      <c r="AO29" s="16">
        <v>0.60199999999999998</v>
      </c>
      <c r="AP29" s="16">
        <v>0.57899999999999996</v>
      </c>
      <c r="AQ29" s="16">
        <v>0.14400000000000002</v>
      </c>
      <c r="AR29" s="16">
        <v>0.28899999999999998</v>
      </c>
      <c r="AS29" s="16">
        <v>0.21600000000000003</v>
      </c>
      <c r="AT29" s="16">
        <v>0.109</v>
      </c>
      <c r="AU29" s="16">
        <v>2.7999999999999997E-2</v>
      </c>
      <c r="AV29" s="16">
        <v>0</v>
      </c>
      <c r="AW29" s="16">
        <v>8.8000000000000009E-2</v>
      </c>
      <c r="AX29" s="14">
        <v>0.27200000000000002</v>
      </c>
      <c r="AY29" s="19">
        <v>124</v>
      </c>
      <c r="AZ29" s="19">
        <v>112</v>
      </c>
      <c r="BA29" s="17">
        <v>22.8</v>
      </c>
      <c r="BB29" s="17">
        <v>8.9</v>
      </c>
    </row>
    <row r="30" spans="2:54" ht="16" x14ac:dyDescent="0.2">
      <c r="B30" s="1">
        <v>26</v>
      </c>
      <c r="C30" s="2">
        <v>701</v>
      </c>
      <c r="D30" s="2">
        <v>29</v>
      </c>
      <c r="E30" s="3">
        <v>45653</v>
      </c>
      <c r="F30" s="2" t="s">
        <v>4</v>
      </c>
      <c r="G30" s="2"/>
      <c r="H30" s="2" t="s">
        <v>84</v>
      </c>
      <c r="I30" s="2" t="s">
        <v>83</v>
      </c>
      <c r="J30" s="11">
        <f>(_xlfn.TEXTBEFORE(_xlfn.TEXTAFTER($I30,", ",,1),"-",,1,1,))*1</f>
        <v>135</v>
      </c>
      <c r="K30" s="11">
        <f>(_xlfn.TEXTBEFORE(_xlfn.TEXTAFTER($I30,"-",,1)," ",,1,1,))*1</f>
        <v>149</v>
      </c>
      <c r="L30" s="2" t="str">
        <f>LEFT('    #StatsTable'!$I30,1)</f>
        <v>L</v>
      </c>
      <c r="M30" s="2">
        <f>IF('    #StatsTable'!$L30="W", M29+1,M29)</f>
        <v>16</v>
      </c>
      <c r="N30" s="2">
        <f>IF('    #StatsTable'!$L30="L",N29+1,N29)</f>
        <v>13</v>
      </c>
      <c r="O30" s="2" t="s">
        <v>0</v>
      </c>
      <c r="P30" s="4">
        <v>1.4895833333333333</v>
      </c>
      <c r="Q30" s="28">
        <v>12</v>
      </c>
      <c r="R30" s="28">
        <v>19</v>
      </c>
      <c r="S30" s="15">
        <v>0.63200000000000001</v>
      </c>
      <c r="T30" s="28">
        <v>0</v>
      </c>
      <c r="U30" s="28">
        <v>3</v>
      </c>
      <c r="V30" s="15">
        <v>0</v>
      </c>
      <c r="W30" s="28">
        <v>12</v>
      </c>
      <c r="X30" s="28">
        <v>16</v>
      </c>
      <c r="Y30" s="15">
        <v>0.75</v>
      </c>
      <c r="Z30" s="15">
        <v>0.63200000000000001</v>
      </c>
      <c r="AA30" s="28">
        <v>3</v>
      </c>
      <c r="AB30" s="28">
        <v>4</v>
      </c>
      <c r="AC30" s="15">
        <v>0.75</v>
      </c>
      <c r="AD30" s="28">
        <v>3</v>
      </c>
      <c r="AE30" s="28">
        <v>11</v>
      </c>
      <c r="AF30" s="28">
        <v>14</v>
      </c>
      <c r="AG30" s="28">
        <v>13</v>
      </c>
      <c r="AH30" s="28">
        <v>3</v>
      </c>
      <c r="AI30" s="28">
        <v>0</v>
      </c>
      <c r="AJ30" s="28">
        <v>1</v>
      </c>
      <c r="AK30" s="28">
        <v>1</v>
      </c>
      <c r="AL30" s="28">
        <v>27</v>
      </c>
      <c r="AM30" s="2">
        <v>34.200000000000003</v>
      </c>
      <c r="AN30" s="2">
        <v>-15</v>
      </c>
      <c r="AO30" s="16">
        <v>0.65</v>
      </c>
      <c r="AP30" s="16">
        <v>0.63200000000000001</v>
      </c>
      <c r="AQ30" s="16">
        <v>0.109</v>
      </c>
      <c r="AR30" s="16">
        <v>0.379</v>
      </c>
      <c r="AS30" s="16">
        <v>0.247</v>
      </c>
      <c r="AT30" s="16">
        <v>0.47299999999999998</v>
      </c>
      <c r="AU30" s="16">
        <v>3.7999999999999999E-2</v>
      </c>
      <c r="AV30" s="16">
        <v>0</v>
      </c>
      <c r="AW30" s="16">
        <v>4.5999999999999999E-2</v>
      </c>
      <c r="AX30" s="14">
        <v>0.254</v>
      </c>
      <c r="AY30" s="19">
        <v>150</v>
      </c>
      <c r="AZ30" s="19">
        <v>134</v>
      </c>
      <c r="BA30" s="17">
        <v>34.200000000000003</v>
      </c>
      <c r="BB30" s="17">
        <v>14.7</v>
      </c>
    </row>
    <row r="31" spans="2:54" ht="16" x14ac:dyDescent="0.2">
      <c r="B31" s="1">
        <v>27</v>
      </c>
      <c r="C31" s="2">
        <v>702</v>
      </c>
      <c r="D31" s="2">
        <v>30</v>
      </c>
      <c r="E31" s="3">
        <v>45654</v>
      </c>
      <c r="F31" s="2" t="s">
        <v>4</v>
      </c>
      <c r="G31" s="2"/>
      <c r="H31" s="2" t="s">
        <v>43</v>
      </c>
      <c r="I31" s="2" t="s">
        <v>82</v>
      </c>
      <c r="J31" s="11">
        <f>(_xlfn.TEXTBEFORE(_xlfn.TEXTAFTER($I31,", ",,1),"-",,1,1,))*1</f>
        <v>134</v>
      </c>
      <c r="K31" s="11">
        <f>(_xlfn.TEXTBEFORE(_xlfn.TEXTAFTER($I31,"-",,1)," ",,1,1,))*1</f>
        <v>121</v>
      </c>
      <c r="L31" s="2" t="str">
        <f>LEFT('    #StatsTable'!$I31,1)</f>
        <v>W</v>
      </c>
      <c r="M31" s="2">
        <f>IF('    #StatsTable'!$L31="W", M30+1,M30)</f>
        <v>17</v>
      </c>
      <c r="N31" s="2">
        <f>IF('    #StatsTable'!$L31="L",N30+1,N30)</f>
        <v>13</v>
      </c>
      <c r="O31" s="2" t="s">
        <v>0</v>
      </c>
      <c r="P31" s="4">
        <v>1.5513888888888889</v>
      </c>
      <c r="Q31" s="28">
        <v>11</v>
      </c>
      <c r="R31" s="28">
        <v>17</v>
      </c>
      <c r="S31" s="15">
        <v>0.64700000000000002</v>
      </c>
      <c r="T31" s="28">
        <v>4</v>
      </c>
      <c r="U31" s="28">
        <v>5</v>
      </c>
      <c r="V31" s="15">
        <v>0.8</v>
      </c>
      <c r="W31" s="28">
        <v>7</v>
      </c>
      <c r="X31" s="28">
        <v>12</v>
      </c>
      <c r="Y31" s="15">
        <v>0.58299999999999996</v>
      </c>
      <c r="Z31" s="15">
        <v>0.76500000000000001</v>
      </c>
      <c r="AA31" s="28">
        <v>11</v>
      </c>
      <c r="AB31" s="28">
        <v>14</v>
      </c>
      <c r="AC31" s="15">
        <v>0.78600000000000003</v>
      </c>
      <c r="AD31" s="28">
        <v>1</v>
      </c>
      <c r="AE31" s="28">
        <v>8</v>
      </c>
      <c r="AF31" s="28">
        <v>9</v>
      </c>
      <c r="AG31" s="28">
        <v>8</v>
      </c>
      <c r="AH31" s="28">
        <v>0</v>
      </c>
      <c r="AI31" s="28">
        <v>0</v>
      </c>
      <c r="AJ31" s="28">
        <v>2</v>
      </c>
      <c r="AK31" s="28">
        <v>4</v>
      </c>
      <c r="AL31" s="28">
        <v>37</v>
      </c>
      <c r="AM31" s="2">
        <v>33.4</v>
      </c>
      <c r="AN31" s="2">
        <v>25</v>
      </c>
      <c r="AO31" s="16">
        <v>0.79900000000000004</v>
      </c>
      <c r="AP31" s="16">
        <v>0.76500000000000001</v>
      </c>
      <c r="AQ31" s="16">
        <v>3.7999999999999999E-2</v>
      </c>
      <c r="AR31" s="16">
        <v>0.21899999999999997</v>
      </c>
      <c r="AS31" s="16">
        <v>0.14300000000000002</v>
      </c>
      <c r="AT31" s="16">
        <v>0.32400000000000001</v>
      </c>
      <c r="AU31" s="16">
        <v>0</v>
      </c>
      <c r="AV31" s="16">
        <v>0</v>
      </c>
      <c r="AW31" s="16">
        <v>7.9000000000000001E-2</v>
      </c>
      <c r="AX31" s="14">
        <v>0.28999999999999998</v>
      </c>
      <c r="AY31" s="19">
        <v>158</v>
      </c>
      <c r="AZ31" s="19">
        <v>123</v>
      </c>
      <c r="BA31" s="17">
        <v>33.4</v>
      </c>
      <c r="BB31" s="17">
        <v>12.1</v>
      </c>
    </row>
    <row r="32" spans="2:54" ht="16" x14ac:dyDescent="0.2">
      <c r="B32" s="1">
        <v>28</v>
      </c>
      <c r="C32" s="2">
        <v>703</v>
      </c>
      <c r="D32" s="2">
        <v>31</v>
      </c>
      <c r="E32" s="3">
        <v>45656</v>
      </c>
      <c r="F32" s="2" t="s">
        <v>4</v>
      </c>
      <c r="G32" s="2" t="s">
        <v>3</v>
      </c>
      <c r="H32" s="2" t="s">
        <v>19</v>
      </c>
      <c r="I32" s="2" t="s">
        <v>49</v>
      </c>
      <c r="J32" s="11">
        <f>(_xlfn.TEXTBEFORE(_xlfn.TEXTAFTER($I32,", ",,1),"-",,1,1,))*1</f>
        <v>132</v>
      </c>
      <c r="K32" s="11">
        <f>(_xlfn.TEXTBEFORE(_xlfn.TEXTAFTER($I32,"-",,1)," ",,1,1,))*1</f>
        <v>121</v>
      </c>
      <c r="L32" s="2" t="str">
        <f>LEFT('    #StatsTable'!$I32,1)</f>
        <v>W</v>
      </c>
      <c r="M32" s="2">
        <f>IF('    #StatsTable'!$L32="W", M31+1,M31)</f>
        <v>18</v>
      </c>
      <c r="N32" s="2">
        <f>IF('    #StatsTable'!$L32="L",N31+1,N31)</f>
        <v>13</v>
      </c>
      <c r="O32" s="2" t="s">
        <v>0</v>
      </c>
      <c r="P32" s="4">
        <v>1.5958333333333334</v>
      </c>
      <c r="Q32" s="28">
        <v>14</v>
      </c>
      <c r="R32" s="28">
        <v>33</v>
      </c>
      <c r="S32" s="15">
        <v>0.42399999999999999</v>
      </c>
      <c r="T32" s="28">
        <v>3</v>
      </c>
      <c r="U32" s="28">
        <v>9</v>
      </c>
      <c r="V32" s="15">
        <v>0.33300000000000002</v>
      </c>
      <c r="W32" s="28">
        <v>11</v>
      </c>
      <c r="X32" s="28">
        <v>24</v>
      </c>
      <c r="Y32" s="15">
        <v>0.45800000000000002</v>
      </c>
      <c r="Z32" s="15">
        <v>0.47</v>
      </c>
      <c r="AA32" s="28">
        <v>5</v>
      </c>
      <c r="AB32" s="28">
        <v>6</v>
      </c>
      <c r="AC32" s="15">
        <v>0.83299999999999996</v>
      </c>
      <c r="AD32" s="28">
        <v>7</v>
      </c>
      <c r="AE32" s="28">
        <v>15</v>
      </c>
      <c r="AF32" s="28">
        <v>22</v>
      </c>
      <c r="AG32" s="28">
        <v>11</v>
      </c>
      <c r="AH32" s="28">
        <v>4</v>
      </c>
      <c r="AI32" s="28">
        <v>0</v>
      </c>
      <c r="AJ32" s="28">
        <v>2</v>
      </c>
      <c r="AK32" s="28">
        <v>0</v>
      </c>
      <c r="AL32" s="28">
        <v>36</v>
      </c>
      <c r="AM32" s="2">
        <v>37.200000000000003</v>
      </c>
      <c r="AN32" s="2">
        <v>20</v>
      </c>
      <c r="AO32" s="16">
        <v>0.505</v>
      </c>
      <c r="AP32" s="16">
        <v>0.47</v>
      </c>
      <c r="AQ32" s="16">
        <v>0.187</v>
      </c>
      <c r="AR32" s="16">
        <v>0.45899999999999996</v>
      </c>
      <c r="AS32" s="16">
        <v>0.313</v>
      </c>
      <c r="AT32" s="16">
        <v>0.38900000000000001</v>
      </c>
      <c r="AU32" s="16">
        <v>4.9000000000000002E-2</v>
      </c>
      <c r="AV32" s="16">
        <v>0</v>
      </c>
      <c r="AW32" s="16">
        <v>5.2999999999999999E-2</v>
      </c>
      <c r="AX32" s="14">
        <v>0.39200000000000002</v>
      </c>
      <c r="AY32" s="19">
        <v>125</v>
      </c>
      <c r="AZ32" s="19">
        <v>110</v>
      </c>
      <c r="BA32" s="17">
        <v>37.200000000000003</v>
      </c>
      <c r="BB32" s="17">
        <v>13.6</v>
      </c>
    </row>
    <row r="33" spans="2:54" ht="16" x14ac:dyDescent="0.2">
      <c r="B33" s="1">
        <v>29</v>
      </c>
      <c r="C33" s="2">
        <v>704</v>
      </c>
      <c r="D33" s="2">
        <v>32</v>
      </c>
      <c r="E33" s="3">
        <v>45658</v>
      </c>
      <c r="F33" s="2" t="s">
        <v>4</v>
      </c>
      <c r="G33" s="2"/>
      <c r="H33" s="2" t="s">
        <v>81</v>
      </c>
      <c r="I33" s="2" t="s">
        <v>80</v>
      </c>
      <c r="J33" s="11">
        <f>(_xlfn.TEXTBEFORE(_xlfn.TEXTAFTER($I33,", ",,1),"-",,1,1,))*1</f>
        <v>139</v>
      </c>
      <c r="K33" s="11">
        <f>(_xlfn.TEXTBEFORE(_xlfn.TEXTAFTER($I33,"-",,1)," ",,1,1,))*1</f>
        <v>120</v>
      </c>
      <c r="L33" s="2" t="str">
        <f>LEFT('    #StatsTable'!$I33,1)</f>
        <v>W</v>
      </c>
      <c r="M33" s="2">
        <f>IF('    #StatsTable'!$L33="W", M32+1,M32)</f>
        <v>19</v>
      </c>
      <c r="N33" s="2">
        <f>IF('    #StatsTable'!$L33="L",N32+1,N32)</f>
        <v>13</v>
      </c>
      <c r="O33" s="2" t="s">
        <v>0</v>
      </c>
      <c r="P33" s="4">
        <v>1.2298611111111111</v>
      </c>
      <c r="Q33" s="28">
        <v>8</v>
      </c>
      <c r="R33" s="28">
        <v>16</v>
      </c>
      <c r="S33" s="15">
        <v>0.5</v>
      </c>
      <c r="T33" s="28">
        <v>1</v>
      </c>
      <c r="U33" s="28">
        <v>1</v>
      </c>
      <c r="V33" s="15">
        <v>1</v>
      </c>
      <c r="W33" s="28">
        <v>7</v>
      </c>
      <c r="X33" s="28">
        <v>15</v>
      </c>
      <c r="Y33" s="15">
        <v>0.46700000000000003</v>
      </c>
      <c r="Z33" s="15">
        <v>0.53100000000000003</v>
      </c>
      <c r="AA33" s="28">
        <v>6</v>
      </c>
      <c r="AB33" s="28">
        <v>6</v>
      </c>
      <c r="AC33" s="15">
        <v>1</v>
      </c>
      <c r="AD33" s="28">
        <v>3</v>
      </c>
      <c r="AE33" s="28">
        <v>14</v>
      </c>
      <c r="AF33" s="28">
        <v>17</v>
      </c>
      <c r="AG33" s="28">
        <v>15</v>
      </c>
      <c r="AH33" s="28">
        <v>0</v>
      </c>
      <c r="AI33" s="28">
        <v>1</v>
      </c>
      <c r="AJ33" s="28">
        <v>2</v>
      </c>
      <c r="AK33" s="28">
        <v>2</v>
      </c>
      <c r="AL33" s="28">
        <v>23</v>
      </c>
      <c r="AM33" s="2">
        <v>29.7</v>
      </c>
      <c r="AN33" s="2">
        <v>31</v>
      </c>
      <c r="AO33" s="16">
        <v>0.61699999999999999</v>
      </c>
      <c r="AP33" s="16">
        <v>0.53100000000000003</v>
      </c>
      <c r="AQ33" s="16">
        <v>0.13600000000000001</v>
      </c>
      <c r="AR33" s="16">
        <v>0.44600000000000001</v>
      </c>
      <c r="AS33" s="16">
        <v>0.318</v>
      </c>
      <c r="AT33" s="16">
        <v>0.61</v>
      </c>
      <c r="AU33" s="16">
        <v>0</v>
      </c>
      <c r="AV33" s="16">
        <v>0.03</v>
      </c>
      <c r="AW33" s="16">
        <v>9.6999999999999989E-2</v>
      </c>
      <c r="AX33" s="14">
        <v>0.28899999999999998</v>
      </c>
      <c r="AY33" s="19">
        <v>139</v>
      </c>
      <c r="AZ33" s="19">
        <v>104</v>
      </c>
      <c r="BA33" s="17">
        <v>29.7</v>
      </c>
      <c r="BB33" s="17">
        <v>15.1</v>
      </c>
    </row>
    <row r="34" spans="2:54" ht="16" x14ac:dyDescent="0.2">
      <c r="B34" s="1">
        <v>30</v>
      </c>
      <c r="C34" s="2">
        <v>705</v>
      </c>
      <c r="D34" s="2">
        <v>33</v>
      </c>
      <c r="E34" s="3">
        <v>45660</v>
      </c>
      <c r="F34" s="2" t="s">
        <v>4</v>
      </c>
      <c r="G34" s="2"/>
      <c r="H34" s="2" t="s">
        <v>15</v>
      </c>
      <c r="I34" s="2" t="s">
        <v>79</v>
      </c>
      <c r="J34" s="11">
        <f>(_xlfn.TEXTBEFORE(_xlfn.TEXTAFTER($I34,", ",,1),"-",,1,1,))*1</f>
        <v>110</v>
      </c>
      <c r="K34" s="11">
        <f>(_xlfn.TEXTBEFORE(_xlfn.TEXTAFTER($I34,"-",,1)," ",,1,1,))*1</f>
        <v>113</v>
      </c>
      <c r="L34" s="2" t="str">
        <f>LEFT('    #StatsTable'!$I34,1)</f>
        <v>L</v>
      </c>
      <c r="M34" s="2">
        <f>IF('    #StatsTable'!$L34="W", M33+1,M33)</f>
        <v>19</v>
      </c>
      <c r="N34" s="2">
        <f>IF('    #StatsTable'!$L34="L",N33+1,N33)</f>
        <v>14</v>
      </c>
      <c r="O34" s="2" t="s">
        <v>0</v>
      </c>
      <c r="P34" s="4">
        <v>1.5270833333333333</v>
      </c>
      <c r="Q34" s="28">
        <v>15</v>
      </c>
      <c r="R34" s="28">
        <v>36</v>
      </c>
      <c r="S34" s="15">
        <v>0.41699999999999998</v>
      </c>
      <c r="T34" s="28">
        <v>3</v>
      </c>
      <c r="U34" s="28">
        <v>10</v>
      </c>
      <c r="V34" s="15">
        <v>0.3</v>
      </c>
      <c r="W34" s="28">
        <v>12</v>
      </c>
      <c r="X34" s="28">
        <v>26</v>
      </c>
      <c r="Y34" s="15">
        <v>0.46200000000000002</v>
      </c>
      <c r="Z34" s="15">
        <v>0.45800000000000002</v>
      </c>
      <c r="AA34" s="28">
        <v>8</v>
      </c>
      <c r="AB34" s="28">
        <v>9</v>
      </c>
      <c r="AC34" s="15">
        <v>0.88900000000000001</v>
      </c>
      <c r="AD34" s="28">
        <v>4</v>
      </c>
      <c r="AE34" s="28">
        <v>14</v>
      </c>
      <c r="AF34" s="28">
        <v>18</v>
      </c>
      <c r="AG34" s="28">
        <v>9</v>
      </c>
      <c r="AH34" s="28">
        <v>2</v>
      </c>
      <c r="AI34" s="28">
        <v>0</v>
      </c>
      <c r="AJ34" s="28">
        <v>2</v>
      </c>
      <c r="AK34" s="28">
        <v>3</v>
      </c>
      <c r="AL34" s="28">
        <v>41</v>
      </c>
      <c r="AM34" s="2">
        <v>33.5</v>
      </c>
      <c r="AN34" s="2">
        <v>7</v>
      </c>
      <c r="AO34" s="16">
        <v>0.51300000000000001</v>
      </c>
      <c r="AP34" s="16">
        <v>0.45800000000000002</v>
      </c>
      <c r="AQ34" s="16">
        <v>0.10099999999999999</v>
      </c>
      <c r="AR34" s="16">
        <v>0.36700000000000005</v>
      </c>
      <c r="AS34" s="16">
        <v>0.23100000000000001</v>
      </c>
      <c r="AT34" s="16">
        <v>0.52700000000000002</v>
      </c>
      <c r="AU34" s="16">
        <v>2.6000000000000002E-2</v>
      </c>
      <c r="AV34" s="16">
        <v>0</v>
      </c>
      <c r="AW34" s="16">
        <v>4.8000000000000001E-2</v>
      </c>
      <c r="AX34" s="14">
        <v>0.49</v>
      </c>
      <c r="AY34" s="19">
        <v>112</v>
      </c>
      <c r="AZ34" s="19">
        <v>103</v>
      </c>
      <c r="BA34" s="17">
        <v>33.5</v>
      </c>
      <c r="BB34" s="17">
        <v>14.1</v>
      </c>
    </row>
    <row r="35" spans="2:54" ht="16" x14ac:dyDescent="0.2">
      <c r="B35" s="1">
        <v>31</v>
      </c>
      <c r="C35" s="2">
        <v>706</v>
      </c>
      <c r="D35" s="2">
        <v>34</v>
      </c>
      <c r="E35" s="3">
        <v>45661</v>
      </c>
      <c r="F35" s="2" t="s">
        <v>4</v>
      </c>
      <c r="G35" s="2" t="s">
        <v>3</v>
      </c>
      <c r="H35" s="2" t="s">
        <v>15</v>
      </c>
      <c r="I35" s="2" t="s">
        <v>78</v>
      </c>
      <c r="J35" s="11">
        <f>(_xlfn.TEXTBEFORE(_xlfn.TEXTAFTER($I35,", ",,1),"-",,1,1,))*1</f>
        <v>122</v>
      </c>
      <c r="K35" s="11">
        <f>(_xlfn.TEXTBEFORE(_xlfn.TEXTAFTER($I35,"-",,1)," ",,1,1,))*1</f>
        <v>111</v>
      </c>
      <c r="L35" s="2" t="str">
        <f>LEFT('    #StatsTable'!$I35,1)</f>
        <v>W</v>
      </c>
      <c r="M35" s="2">
        <f>IF('    #StatsTable'!$L35="W", M34+1,M34)</f>
        <v>20</v>
      </c>
      <c r="N35" s="2">
        <f>IF('    #StatsTable'!$L35="L",N34+1,N34)</f>
        <v>14</v>
      </c>
      <c r="O35" s="2" t="s">
        <v>0</v>
      </c>
      <c r="P35" s="4">
        <v>1.804861111111111</v>
      </c>
      <c r="Q35" s="28">
        <v>19</v>
      </c>
      <c r="R35" s="28">
        <v>35</v>
      </c>
      <c r="S35" s="15">
        <v>0.54300000000000004</v>
      </c>
      <c r="T35" s="28">
        <v>3</v>
      </c>
      <c r="U35" s="28">
        <v>8</v>
      </c>
      <c r="V35" s="15">
        <v>0.375</v>
      </c>
      <c r="W35" s="28">
        <v>16</v>
      </c>
      <c r="X35" s="28">
        <v>27</v>
      </c>
      <c r="Y35" s="15">
        <v>0.59299999999999997</v>
      </c>
      <c r="Z35" s="15">
        <v>0.58599999999999997</v>
      </c>
      <c r="AA35" s="28">
        <v>5</v>
      </c>
      <c r="AB35" s="28">
        <v>6</v>
      </c>
      <c r="AC35" s="15">
        <v>0.83299999999999996</v>
      </c>
      <c r="AD35" s="28">
        <v>4</v>
      </c>
      <c r="AE35" s="28">
        <v>5</v>
      </c>
      <c r="AF35" s="28">
        <v>9</v>
      </c>
      <c r="AG35" s="28">
        <v>10</v>
      </c>
      <c r="AH35" s="28">
        <v>2</v>
      </c>
      <c r="AI35" s="28">
        <v>2</v>
      </c>
      <c r="AJ35" s="28">
        <v>2</v>
      </c>
      <c r="AK35" s="28">
        <v>3</v>
      </c>
      <c r="AL35" s="28">
        <v>46</v>
      </c>
      <c r="AM35" s="2">
        <v>40.200000000000003</v>
      </c>
      <c r="AN35" s="2">
        <v>7</v>
      </c>
      <c r="AO35" s="16">
        <v>0.61099999999999999</v>
      </c>
      <c r="AP35" s="16">
        <v>0.58599999999999997</v>
      </c>
      <c r="AQ35" s="16">
        <v>8.3000000000000004E-2</v>
      </c>
      <c r="AR35" s="16">
        <v>0.107</v>
      </c>
      <c r="AS35" s="16">
        <v>9.5000000000000001E-2</v>
      </c>
      <c r="AT35" s="16">
        <v>0.51500000000000001</v>
      </c>
      <c r="AU35" s="16">
        <v>2.2000000000000002E-2</v>
      </c>
      <c r="AV35" s="16">
        <v>4.4000000000000004E-2</v>
      </c>
      <c r="AW35" s="16">
        <v>0.05</v>
      </c>
      <c r="AX35" s="14">
        <v>0.38799999999999996</v>
      </c>
      <c r="AY35" s="19">
        <v>127</v>
      </c>
      <c r="AZ35" s="19">
        <v>102</v>
      </c>
      <c r="BA35" s="17">
        <v>40.200000000000003</v>
      </c>
      <c r="BB35" s="17">
        <v>20.100000000000001</v>
      </c>
    </row>
    <row r="36" spans="2:54" ht="16" x14ac:dyDescent="0.2">
      <c r="B36" s="1">
        <v>31</v>
      </c>
      <c r="C36" s="2"/>
      <c r="D36" s="2">
        <v>35</v>
      </c>
      <c r="E36" s="3">
        <v>45664</v>
      </c>
      <c r="F36" s="2" t="s">
        <v>4</v>
      </c>
      <c r="G36" s="2"/>
      <c r="H36" s="2" t="s">
        <v>41</v>
      </c>
      <c r="I36" s="2" t="s">
        <v>77</v>
      </c>
      <c r="J36" s="11">
        <f>(_xlfn.TEXTBEFORE(_xlfn.TEXTAFTER($I36,", ",,1),"-",,1,1,))*1</f>
        <v>106</v>
      </c>
      <c r="K36" s="11">
        <f>(_xlfn.TEXTBEFORE(_xlfn.TEXTAFTER($I36,"-",,1)," ",,1,1,))*1</f>
        <v>118</v>
      </c>
      <c r="L36" s="2" t="str">
        <f>LEFT('    #StatsTable'!$I36,1)</f>
        <v>L</v>
      </c>
      <c r="M36" s="2">
        <f>IF('    #StatsTable'!$L36="W", M35+1,M35)</f>
        <v>20</v>
      </c>
      <c r="N36" s="2">
        <f>IF('    #StatsTable'!$L36="L",N35+1,N35)</f>
        <v>15</v>
      </c>
      <c r="O36" s="2" t="s">
        <v>13</v>
      </c>
      <c r="P36" s="4" t="s">
        <v>208</v>
      </c>
      <c r="Q36" s="28" t="s">
        <v>208</v>
      </c>
      <c r="R36" s="28" t="s">
        <v>208</v>
      </c>
      <c r="S36" s="15" t="s">
        <v>208</v>
      </c>
      <c r="T36" s="28" t="s">
        <v>208</v>
      </c>
      <c r="U36" s="28" t="s">
        <v>208</v>
      </c>
      <c r="V36" s="15" t="s">
        <v>208</v>
      </c>
      <c r="W36" s="28" t="s">
        <v>208</v>
      </c>
      <c r="X36" s="28" t="s">
        <v>208</v>
      </c>
      <c r="Y36" s="15" t="s">
        <v>208</v>
      </c>
      <c r="Z36" s="15" t="s">
        <v>208</v>
      </c>
      <c r="AA36" s="28" t="s">
        <v>208</v>
      </c>
      <c r="AB36" s="28" t="s">
        <v>208</v>
      </c>
      <c r="AC36" s="15" t="s">
        <v>208</v>
      </c>
      <c r="AD36" s="28" t="s">
        <v>208</v>
      </c>
      <c r="AE36" s="28" t="s">
        <v>208</v>
      </c>
      <c r="AF36" s="28" t="s">
        <v>208</v>
      </c>
      <c r="AG36" s="28" t="s">
        <v>208</v>
      </c>
      <c r="AH36" s="28" t="s">
        <v>208</v>
      </c>
      <c r="AI36" s="28" t="s">
        <v>208</v>
      </c>
      <c r="AJ36" s="28" t="s">
        <v>208</v>
      </c>
      <c r="AK36" s="28" t="s">
        <v>208</v>
      </c>
      <c r="AL36" s="28" t="s">
        <v>208</v>
      </c>
      <c r="AM36" s="2" t="s">
        <v>208</v>
      </c>
      <c r="AN36" s="2" t="s">
        <v>208</v>
      </c>
      <c r="AO36" s="15" t="s">
        <v>208</v>
      </c>
      <c r="AP36" s="15" t="s">
        <v>208</v>
      </c>
      <c r="AQ36" s="15" t="s">
        <v>208</v>
      </c>
      <c r="AR36" s="15" t="s">
        <v>208</v>
      </c>
      <c r="AS36" s="15" t="s">
        <v>208</v>
      </c>
      <c r="AT36" s="15" t="s">
        <v>208</v>
      </c>
      <c r="AU36" s="15" t="s">
        <v>208</v>
      </c>
      <c r="AV36" s="15" t="s">
        <v>208</v>
      </c>
      <c r="AW36" s="15" t="s">
        <v>208</v>
      </c>
      <c r="AX36" s="14" t="s">
        <v>208</v>
      </c>
      <c r="AY36" s="28" t="s">
        <v>208</v>
      </c>
      <c r="AZ36" s="28" t="s">
        <v>208</v>
      </c>
      <c r="BA36" s="26" t="s">
        <v>208</v>
      </c>
      <c r="BB36" s="26" t="s">
        <v>208</v>
      </c>
    </row>
    <row r="37" spans="2:54" ht="16" x14ac:dyDescent="0.2">
      <c r="B37" s="1">
        <v>31</v>
      </c>
      <c r="C37" s="2"/>
      <c r="D37" s="2">
        <v>36</v>
      </c>
      <c r="E37" s="3">
        <v>45665</v>
      </c>
      <c r="F37" s="2" t="s">
        <v>4</v>
      </c>
      <c r="G37" s="2"/>
      <c r="H37" s="2" t="s">
        <v>76</v>
      </c>
      <c r="I37" s="2" t="s">
        <v>75</v>
      </c>
      <c r="J37" s="11">
        <f>(_xlfn.TEXTBEFORE(_xlfn.TEXTAFTER($I37,", ",,1),"-",,1,1,))*1</f>
        <v>126</v>
      </c>
      <c r="K37" s="11">
        <f>(_xlfn.TEXTBEFORE(_xlfn.TEXTAFTER($I37,"-",,1)," ",,1,1,))*1</f>
        <v>103</v>
      </c>
      <c r="L37" s="2" t="str">
        <f>LEFT('    #StatsTable'!$I37,1)</f>
        <v>W</v>
      </c>
      <c r="M37" s="2">
        <f>IF('    #StatsTable'!$L37="W", M36+1,M36)</f>
        <v>21</v>
      </c>
      <c r="N37" s="2">
        <f>IF('    #StatsTable'!$L37="L",N36+1,N36)</f>
        <v>15</v>
      </c>
      <c r="O37" s="2" t="s">
        <v>13</v>
      </c>
      <c r="P37" s="4" t="s">
        <v>208</v>
      </c>
      <c r="Q37" s="28" t="s">
        <v>208</v>
      </c>
      <c r="R37" s="28" t="s">
        <v>208</v>
      </c>
      <c r="S37" s="15" t="s">
        <v>208</v>
      </c>
      <c r="T37" s="28" t="s">
        <v>208</v>
      </c>
      <c r="U37" s="28" t="s">
        <v>208</v>
      </c>
      <c r="V37" s="15" t="s">
        <v>208</v>
      </c>
      <c r="W37" s="28" t="s">
        <v>208</v>
      </c>
      <c r="X37" s="28" t="s">
        <v>208</v>
      </c>
      <c r="Y37" s="15" t="s">
        <v>208</v>
      </c>
      <c r="Z37" s="15" t="s">
        <v>208</v>
      </c>
      <c r="AA37" s="28" t="s">
        <v>208</v>
      </c>
      <c r="AB37" s="28" t="s">
        <v>208</v>
      </c>
      <c r="AC37" s="15" t="s">
        <v>208</v>
      </c>
      <c r="AD37" s="28" t="s">
        <v>208</v>
      </c>
      <c r="AE37" s="28" t="s">
        <v>208</v>
      </c>
      <c r="AF37" s="28" t="s">
        <v>208</v>
      </c>
      <c r="AG37" s="28" t="s">
        <v>208</v>
      </c>
      <c r="AH37" s="28" t="s">
        <v>208</v>
      </c>
      <c r="AI37" s="28" t="s">
        <v>208</v>
      </c>
      <c r="AJ37" s="28" t="s">
        <v>208</v>
      </c>
      <c r="AK37" s="28" t="s">
        <v>208</v>
      </c>
      <c r="AL37" s="28" t="s">
        <v>208</v>
      </c>
      <c r="AM37" s="2" t="s">
        <v>208</v>
      </c>
      <c r="AN37" s="2" t="s">
        <v>208</v>
      </c>
      <c r="AO37" s="15" t="s">
        <v>208</v>
      </c>
      <c r="AP37" s="15" t="s">
        <v>208</v>
      </c>
      <c r="AQ37" s="15" t="s">
        <v>208</v>
      </c>
      <c r="AR37" s="15" t="s">
        <v>208</v>
      </c>
      <c r="AS37" s="15" t="s">
        <v>208</v>
      </c>
      <c r="AT37" s="15" t="s">
        <v>208</v>
      </c>
      <c r="AU37" s="15" t="s">
        <v>208</v>
      </c>
      <c r="AV37" s="15" t="s">
        <v>208</v>
      </c>
      <c r="AW37" s="15" t="s">
        <v>208</v>
      </c>
      <c r="AX37" s="14" t="s">
        <v>208</v>
      </c>
      <c r="AY37" s="28" t="s">
        <v>208</v>
      </c>
      <c r="AZ37" s="28" t="s">
        <v>208</v>
      </c>
      <c r="BA37" s="26" t="s">
        <v>208</v>
      </c>
      <c r="BB37" s="26" t="s">
        <v>208</v>
      </c>
    </row>
    <row r="38" spans="2:54" ht="16" x14ac:dyDescent="0.2">
      <c r="B38" s="1">
        <v>32</v>
      </c>
      <c r="C38" s="2">
        <v>707</v>
      </c>
      <c r="D38" s="2">
        <v>37</v>
      </c>
      <c r="E38" s="3">
        <v>45667</v>
      </c>
      <c r="F38" s="2" t="s">
        <v>4</v>
      </c>
      <c r="G38" s="2"/>
      <c r="H38" s="2" t="s">
        <v>74</v>
      </c>
      <c r="I38" s="2" t="s">
        <v>73</v>
      </c>
      <c r="J38" s="11">
        <f>(_xlfn.TEXTBEFORE(_xlfn.TEXTAFTER($I38,", ",,1),"-",,1,1,))*1</f>
        <v>124</v>
      </c>
      <c r="K38" s="11">
        <f>(_xlfn.TEXTBEFORE(_xlfn.TEXTAFTER($I38,"-",,1)," ",,1,1,))*1</f>
        <v>105</v>
      </c>
      <c r="L38" s="2" t="str">
        <f>LEFT('    #StatsTable'!$I38,1)</f>
        <v>W</v>
      </c>
      <c r="M38" s="2">
        <f>IF('    #StatsTable'!$L38="W", M37+1,M37)</f>
        <v>22</v>
      </c>
      <c r="N38" s="2">
        <f>IF('    #StatsTable'!$L38="L",N37+1,N37)</f>
        <v>15</v>
      </c>
      <c r="O38" s="2" t="s">
        <v>0</v>
      </c>
      <c r="P38" s="4">
        <v>1.5909722222222222</v>
      </c>
      <c r="Q38" s="28">
        <v>14</v>
      </c>
      <c r="R38" s="28">
        <v>21</v>
      </c>
      <c r="S38" s="15">
        <v>0.66700000000000004</v>
      </c>
      <c r="T38" s="28">
        <v>1</v>
      </c>
      <c r="U38" s="28">
        <v>1</v>
      </c>
      <c r="V38" s="15">
        <v>1</v>
      </c>
      <c r="W38" s="28">
        <v>13</v>
      </c>
      <c r="X38" s="28">
        <v>20</v>
      </c>
      <c r="Y38" s="15">
        <v>0.65</v>
      </c>
      <c r="Z38" s="15">
        <v>0.69</v>
      </c>
      <c r="AA38" s="28">
        <v>6</v>
      </c>
      <c r="AB38" s="28">
        <v>8</v>
      </c>
      <c r="AC38" s="15">
        <v>0.75</v>
      </c>
      <c r="AD38" s="28">
        <v>5</v>
      </c>
      <c r="AE38" s="28">
        <v>7</v>
      </c>
      <c r="AF38" s="28">
        <v>12</v>
      </c>
      <c r="AG38" s="28">
        <v>15</v>
      </c>
      <c r="AH38" s="28">
        <v>4</v>
      </c>
      <c r="AI38" s="28">
        <v>0</v>
      </c>
      <c r="AJ38" s="28">
        <v>1</v>
      </c>
      <c r="AK38" s="28">
        <v>1</v>
      </c>
      <c r="AL38" s="28">
        <v>35</v>
      </c>
      <c r="AM38" s="2">
        <v>43.8</v>
      </c>
      <c r="AN38" s="2">
        <v>33</v>
      </c>
      <c r="AO38" s="16">
        <v>0.71399999999999997</v>
      </c>
      <c r="AP38" s="16">
        <v>0.69</v>
      </c>
      <c r="AQ38" s="16">
        <v>0.153</v>
      </c>
      <c r="AR38" s="16">
        <v>0.187</v>
      </c>
      <c r="AS38" s="16">
        <v>0.17100000000000001</v>
      </c>
      <c r="AT38" s="16">
        <v>0.68799999999999994</v>
      </c>
      <c r="AU38" s="16">
        <v>4.9000000000000002E-2</v>
      </c>
      <c r="AV38" s="16">
        <v>0</v>
      </c>
      <c r="AW38" s="16">
        <v>3.9E-2</v>
      </c>
      <c r="AX38" s="14">
        <v>0.27500000000000002</v>
      </c>
      <c r="AY38" s="19">
        <v>160</v>
      </c>
      <c r="AZ38" s="19">
        <v>97</v>
      </c>
      <c r="BA38" s="17">
        <v>43.8</v>
      </c>
      <c r="BB38" s="17">
        <v>25.1</v>
      </c>
    </row>
    <row r="39" spans="2:54" ht="16" x14ac:dyDescent="0.2">
      <c r="B39" s="1">
        <v>33</v>
      </c>
      <c r="C39" s="2">
        <v>708</v>
      </c>
      <c r="D39" s="2">
        <v>38</v>
      </c>
      <c r="E39" s="3">
        <v>45669</v>
      </c>
      <c r="F39" s="2" t="s">
        <v>4</v>
      </c>
      <c r="G39" s="2" t="s">
        <v>3</v>
      </c>
      <c r="H39" s="2" t="s">
        <v>71</v>
      </c>
      <c r="I39" s="2" t="s">
        <v>72</v>
      </c>
      <c r="J39" s="11">
        <f>(_xlfn.TEXTBEFORE(_xlfn.TEXTAFTER($I39,", ",,1),"-",,1,1,))*1</f>
        <v>112</v>
      </c>
      <c r="K39" s="11">
        <f>(_xlfn.TEXTBEFORE(_xlfn.TEXTAFTER($I39,"-",,1)," ",,1,1,))*1</f>
        <v>101</v>
      </c>
      <c r="L39" s="2" t="str">
        <f>LEFT('    #StatsTable'!$I39,1)</f>
        <v>W</v>
      </c>
      <c r="M39" s="2">
        <f>IF('    #StatsTable'!$L39="W", M38+1,M38)</f>
        <v>23</v>
      </c>
      <c r="N39" s="2">
        <f>IF('    #StatsTable'!$L39="L",N38+1,N38)</f>
        <v>15</v>
      </c>
      <c r="O39" s="2" t="s">
        <v>0</v>
      </c>
      <c r="P39" s="4">
        <v>1.6097222222222223</v>
      </c>
      <c r="Q39" s="28">
        <v>6</v>
      </c>
      <c r="R39" s="28">
        <v>13</v>
      </c>
      <c r="S39" s="15">
        <v>0.46200000000000002</v>
      </c>
      <c r="T39" s="28">
        <v>0</v>
      </c>
      <c r="U39" s="28">
        <v>2</v>
      </c>
      <c r="V39" s="15">
        <v>0</v>
      </c>
      <c r="W39" s="28">
        <v>6</v>
      </c>
      <c r="X39" s="28">
        <v>11</v>
      </c>
      <c r="Y39" s="15">
        <v>0.54500000000000004</v>
      </c>
      <c r="Z39" s="15">
        <v>0.46200000000000002</v>
      </c>
      <c r="AA39" s="28">
        <v>7</v>
      </c>
      <c r="AB39" s="28">
        <v>9</v>
      </c>
      <c r="AC39" s="15">
        <v>0.77800000000000002</v>
      </c>
      <c r="AD39" s="28">
        <v>4</v>
      </c>
      <c r="AE39" s="28">
        <v>14</v>
      </c>
      <c r="AF39" s="28">
        <v>18</v>
      </c>
      <c r="AG39" s="28">
        <v>9</v>
      </c>
      <c r="AH39" s="28">
        <v>3</v>
      </c>
      <c r="AI39" s="28">
        <v>0</v>
      </c>
      <c r="AJ39" s="28">
        <v>4</v>
      </c>
      <c r="AK39" s="28">
        <v>4</v>
      </c>
      <c r="AL39" s="28">
        <v>19</v>
      </c>
      <c r="AM39" s="2">
        <v>22.2</v>
      </c>
      <c r="AN39" s="2">
        <v>-2</v>
      </c>
      <c r="AO39" s="16">
        <v>0.56000000000000005</v>
      </c>
      <c r="AP39" s="16">
        <v>0.46200000000000002</v>
      </c>
      <c r="AQ39" s="16">
        <v>0.113</v>
      </c>
      <c r="AR39" s="16">
        <v>0.36200000000000004</v>
      </c>
      <c r="AS39" s="16">
        <v>0.24299999999999999</v>
      </c>
      <c r="AT39" s="16">
        <v>0.28999999999999998</v>
      </c>
      <c r="AU39" s="16">
        <v>3.7999999999999999E-2</v>
      </c>
      <c r="AV39" s="16">
        <v>0</v>
      </c>
      <c r="AW39" s="16">
        <v>0.191</v>
      </c>
      <c r="AX39" s="14">
        <v>0.223</v>
      </c>
      <c r="AY39" s="19">
        <v>118</v>
      </c>
      <c r="AZ39" s="19">
        <v>94</v>
      </c>
      <c r="BA39" s="17">
        <v>22.2</v>
      </c>
      <c r="BB39" s="17">
        <v>8.6</v>
      </c>
    </row>
    <row r="40" spans="2:54" ht="16" x14ac:dyDescent="0.2">
      <c r="B40" s="1">
        <v>34</v>
      </c>
      <c r="C40" s="2">
        <v>709</v>
      </c>
      <c r="D40" s="2">
        <v>39</v>
      </c>
      <c r="E40" s="3">
        <v>45671</v>
      </c>
      <c r="F40" s="2" t="s">
        <v>4</v>
      </c>
      <c r="G40" s="2" t="s">
        <v>3</v>
      </c>
      <c r="H40" s="2" t="s">
        <v>71</v>
      </c>
      <c r="I40" s="2" t="s">
        <v>70</v>
      </c>
      <c r="J40" s="11">
        <f>(_xlfn.TEXTBEFORE(_xlfn.TEXTAFTER($I40,", ",,1),"-",,1,1,))*1</f>
        <v>118</v>
      </c>
      <c r="K40" s="11">
        <f>(_xlfn.TEXTBEFORE(_xlfn.TEXTAFTER($I40,"-",,1)," ",,1,1,))*1</f>
        <v>99</v>
      </c>
      <c r="L40" s="2" t="str">
        <f>LEFT('    #StatsTable'!$I40,1)</f>
        <v>W</v>
      </c>
      <c r="M40" s="2">
        <f>IF('    #StatsTable'!$L40="W", M39+1,M39)</f>
        <v>24</v>
      </c>
      <c r="N40" s="2">
        <f>IF('    #StatsTable'!$L40="L",N39+1,N39)</f>
        <v>15</v>
      </c>
      <c r="O40" s="2" t="s">
        <v>0</v>
      </c>
      <c r="P40" s="4">
        <v>1.2055555555555555</v>
      </c>
      <c r="Q40" s="28">
        <v>4</v>
      </c>
      <c r="R40" s="28">
        <v>7</v>
      </c>
      <c r="S40" s="15">
        <v>0.57099999999999995</v>
      </c>
      <c r="T40" s="28">
        <v>1</v>
      </c>
      <c r="U40" s="28">
        <v>2</v>
      </c>
      <c r="V40" s="15">
        <v>0.5</v>
      </c>
      <c r="W40" s="28">
        <v>3</v>
      </c>
      <c r="X40" s="28">
        <v>5</v>
      </c>
      <c r="Y40" s="15">
        <v>0.6</v>
      </c>
      <c r="Z40" s="15">
        <v>0.64300000000000002</v>
      </c>
      <c r="AA40" s="28">
        <v>1</v>
      </c>
      <c r="AB40" s="28">
        <v>2</v>
      </c>
      <c r="AC40" s="15">
        <v>0.5</v>
      </c>
      <c r="AD40" s="28">
        <v>2</v>
      </c>
      <c r="AE40" s="28">
        <v>12</v>
      </c>
      <c r="AF40" s="28">
        <v>14</v>
      </c>
      <c r="AG40" s="28">
        <v>10</v>
      </c>
      <c r="AH40" s="28">
        <v>2</v>
      </c>
      <c r="AI40" s="28">
        <v>0</v>
      </c>
      <c r="AJ40" s="28">
        <v>1</v>
      </c>
      <c r="AK40" s="28">
        <v>3</v>
      </c>
      <c r="AL40" s="28">
        <v>10</v>
      </c>
      <c r="AM40" s="2">
        <v>18.100000000000001</v>
      </c>
      <c r="AN40" s="2">
        <v>23</v>
      </c>
      <c r="AO40" s="16">
        <v>0.63500000000000001</v>
      </c>
      <c r="AP40" s="16">
        <v>0.64300000000000002</v>
      </c>
      <c r="AQ40" s="16">
        <v>0.10099999999999999</v>
      </c>
      <c r="AR40" s="16">
        <v>0.41499999999999998</v>
      </c>
      <c r="AS40" s="16">
        <v>0.28699999999999998</v>
      </c>
      <c r="AT40" s="16">
        <v>0.45600000000000002</v>
      </c>
      <c r="AU40" s="16">
        <v>3.3000000000000002E-2</v>
      </c>
      <c r="AV40" s="16">
        <v>0</v>
      </c>
      <c r="AW40" s="16">
        <v>0.113</v>
      </c>
      <c r="AX40" s="14">
        <v>0.13100000000000001</v>
      </c>
      <c r="AY40" s="19">
        <v>155</v>
      </c>
      <c r="AZ40" s="19">
        <v>92</v>
      </c>
      <c r="BA40" s="17">
        <v>18.100000000000001</v>
      </c>
      <c r="BB40" s="17">
        <v>13.2</v>
      </c>
    </row>
    <row r="41" spans="2:54" ht="16" x14ac:dyDescent="0.2">
      <c r="B41" s="1">
        <v>34</v>
      </c>
      <c r="C41" s="2"/>
      <c r="D41" s="2">
        <v>40</v>
      </c>
      <c r="E41" s="3">
        <v>45672</v>
      </c>
      <c r="F41" s="2" t="s">
        <v>4</v>
      </c>
      <c r="G41" s="2"/>
      <c r="H41" s="2" t="s">
        <v>2</v>
      </c>
      <c r="I41" s="2" t="s">
        <v>69</v>
      </c>
      <c r="J41" s="11">
        <f>(_xlfn.TEXTBEFORE(_xlfn.TEXTAFTER($I41,", ",,1),"-",,1,1,))*1</f>
        <v>108</v>
      </c>
      <c r="K41" s="11">
        <f>(_xlfn.TEXTBEFORE(_xlfn.TEXTAFTER($I41,"-",,1)," ",,1,1,))*1</f>
        <v>128</v>
      </c>
      <c r="L41" s="2" t="str">
        <f>LEFT('    #StatsTable'!$I41,1)</f>
        <v>L</v>
      </c>
      <c r="M41" s="2">
        <f>IF('    #StatsTable'!$L41="W", M40+1,M40)</f>
        <v>24</v>
      </c>
      <c r="N41" s="2">
        <f>IF('    #StatsTable'!$L41="L",N40+1,N40)</f>
        <v>16</v>
      </c>
      <c r="O41" s="2" t="s">
        <v>13</v>
      </c>
      <c r="P41" s="4" t="s">
        <v>208</v>
      </c>
      <c r="Q41" s="28" t="s">
        <v>208</v>
      </c>
      <c r="R41" s="28" t="s">
        <v>208</v>
      </c>
      <c r="S41" s="15" t="s">
        <v>208</v>
      </c>
      <c r="T41" s="28" t="s">
        <v>208</v>
      </c>
      <c r="U41" s="28" t="s">
        <v>208</v>
      </c>
      <c r="V41" s="15" t="s">
        <v>208</v>
      </c>
      <c r="W41" s="28" t="s">
        <v>208</v>
      </c>
      <c r="X41" s="28" t="s">
        <v>208</v>
      </c>
      <c r="Y41" s="15" t="s">
        <v>208</v>
      </c>
      <c r="Z41" s="15" t="s">
        <v>208</v>
      </c>
      <c r="AA41" s="28" t="s">
        <v>208</v>
      </c>
      <c r="AB41" s="28" t="s">
        <v>208</v>
      </c>
      <c r="AC41" s="15" t="s">
        <v>208</v>
      </c>
      <c r="AD41" s="28" t="s">
        <v>208</v>
      </c>
      <c r="AE41" s="28" t="s">
        <v>208</v>
      </c>
      <c r="AF41" s="28" t="s">
        <v>208</v>
      </c>
      <c r="AG41" s="28" t="s">
        <v>208</v>
      </c>
      <c r="AH41" s="28" t="s">
        <v>208</v>
      </c>
      <c r="AI41" s="28" t="s">
        <v>208</v>
      </c>
      <c r="AJ41" s="28" t="s">
        <v>208</v>
      </c>
      <c r="AK41" s="28" t="s">
        <v>208</v>
      </c>
      <c r="AL41" s="28" t="s">
        <v>208</v>
      </c>
      <c r="AM41" s="2" t="s">
        <v>208</v>
      </c>
      <c r="AN41" s="2" t="s">
        <v>208</v>
      </c>
      <c r="AO41" s="15" t="s">
        <v>208</v>
      </c>
      <c r="AP41" s="15" t="s">
        <v>208</v>
      </c>
      <c r="AQ41" s="15" t="s">
        <v>208</v>
      </c>
      <c r="AR41" s="15" t="s">
        <v>208</v>
      </c>
      <c r="AS41" s="15" t="s">
        <v>208</v>
      </c>
      <c r="AT41" s="15" t="s">
        <v>208</v>
      </c>
      <c r="AU41" s="15" t="s">
        <v>208</v>
      </c>
      <c r="AV41" s="15" t="s">
        <v>208</v>
      </c>
      <c r="AW41" s="15" t="s">
        <v>208</v>
      </c>
      <c r="AX41" s="14">
        <v>0</v>
      </c>
      <c r="AY41" s="28" t="s">
        <v>208</v>
      </c>
      <c r="AZ41" s="28" t="s">
        <v>208</v>
      </c>
      <c r="BA41" s="26" t="s">
        <v>208</v>
      </c>
      <c r="BB41" s="26" t="s">
        <v>208</v>
      </c>
    </row>
    <row r="42" spans="2:54" ht="16" x14ac:dyDescent="0.2">
      <c r="B42" s="1">
        <v>35</v>
      </c>
      <c r="C42" s="2">
        <v>710</v>
      </c>
      <c r="D42" s="2">
        <v>41</v>
      </c>
      <c r="E42" s="3">
        <v>45674</v>
      </c>
      <c r="F42" s="2" t="s">
        <v>4</v>
      </c>
      <c r="G42" s="2" t="s">
        <v>3</v>
      </c>
      <c r="H42" s="2" t="s">
        <v>68</v>
      </c>
      <c r="I42" s="2" t="s">
        <v>67</v>
      </c>
      <c r="J42" s="11">
        <f>(_xlfn.TEXTBEFORE(_xlfn.TEXTAFTER($I42,", ",,1),"-",,1,1,))*1</f>
        <v>133</v>
      </c>
      <c r="K42" s="11">
        <f>(_xlfn.TEXTBEFORE(_xlfn.TEXTAFTER($I42,"-",,1)," ",,1,1,))*1</f>
        <v>113</v>
      </c>
      <c r="L42" s="2" t="str">
        <f>LEFT('    #StatsTable'!$I42,1)</f>
        <v>W</v>
      </c>
      <c r="M42" s="2">
        <f>IF('    #StatsTable'!$L42="W", M41+1,M41)</f>
        <v>25</v>
      </c>
      <c r="N42" s="2">
        <f>IF('    #StatsTable'!$L42="L",N41+1,N41)</f>
        <v>16</v>
      </c>
      <c r="O42" s="2" t="s">
        <v>0</v>
      </c>
      <c r="P42" s="4">
        <v>1.2756944444444445</v>
      </c>
      <c r="Q42" s="28">
        <v>9</v>
      </c>
      <c r="R42" s="28">
        <v>12</v>
      </c>
      <c r="S42" s="15">
        <v>0.75</v>
      </c>
      <c r="T42" s="28">
        <v>1</v>
      </c>
      <c r="U42" s="28">
        <v>2</v>
      </c>
      <c r="V42" s="15">
        <v>0.5</v>
      </c>
      <c r="W42" s="28">
        <v>8</v>
      </c>
      <c r="X42" s="28">
        <v>10</v>
      </c>
      <c r="Y42" s="15">
        <v>0.8</v>
      </c>
      <c r="Z42" s="15">
        <v>0.79200000000000004</v>
      </c>
      <c r="AA42" s="28">
        <v>5</v>
      </c>
      <c r="AB42" s="28">
        <v>5</v>
      </c>
      <c r="AC42" s="15">
        <v>1</v>
      </c>
      <c r="AD42" s="28">
        <v>2</v>
      </c>
      <c r="AE42" s="28">
        <v>10</v>
      </c>
      <c r="AF42" s="28">
        <v>12</v>
      </c>
      <c r="AG42" s="28">
        <v>10</v>
      </c>
      <c r="AH42" s="28">
        <v>1</v>
      </c>
      <c r="AI42" s="28">
        <v>0</v>
      </c>
      <c r="AJ42" s="28">
        <v>2</v>
      </c>
      <c r="AK42" s="28">
        <v>1</v>
      </c>
      <c r="AL42" s="28">
        <v>24</v>
      </c>
      <c r="AM42" s="2">
        <v>29.2</v>
      </c>
      <c r="AN42" s="2">
        <v>6</v>
      </c>
      <c r="AO42" s="16">
        <v>0.84499999999999997</v>
      </c>
      <c r="AP42" s="16">
        <v>0.79200000000000004</v>
      </c>
      <c r="AQ42" s="16">
        <v>7.4999999999999997E-2</v>
      </c>
      <c r="AR42" s="16">
        <v>0.39200000000000002</v>
      </c>
      <c r="AS42" s="16">
        <v>0.22899999999999998</v>
      </c>
      <c r="AT42" s="16">
        <v>0.43700000000000006</v>
      </c>
      <c r="AU42" s="16">
        <v>1.6E-2</v>
      </c>
      <c r="AV42" s="16">
        <v>0</v>
      </c>
      <c r="AW42" s="16">
        <v>0.12300000000000001</v>
      </c>
      <c r="AX42" s="14">
        <v>0.23899999999999999</v>
      </c>
      <c r="AY42" s="19">
        <v>165</v>
      </c>
      <c r="AZ42" s="19">
        <v>112</v>
      </c>
      <c r="BA42" s="17">
        <v>29.2</v>
      </c>
      <c r="BB42" s="17">
        <v>18.2</v>
      </c>
    </row>
    <row r="43" spans="2:54" ht="16" x14ac:dyDescent="0.2">
      <c r="B43" s="1">
        <v>36</v>
      </c>
      <c r="C43" s="2">
        <v>711</v>
      </c>
      <c r="D43" s="2">
        <v>42</v>
      </c>
      <c r="E43" s="3">
        <v>45676</v>
      </c>
      <c r="F43" s="2" t="s">
        <v>4</v>
      </c>
      <c r="G43" s="2" t="s">
        <v>3</v>
      </c>
      <c r="H43" s="2" t="s">
        <v>53</v>
      </c>
      <c r="I43" s="2" t="s">
        <v>66</v>
      </c>
      <c r="J43" s="11">
        <f>(_xlfn.TEXTBEFORE(_xlfn.TEXTAFTER($I43,", ",,1),"-",,1,1,))*1</f>
        <v>113</v>
      </c>
      <c r="K43" s="11">
        <f>(_xlfn.TEXTBEFORE(_xlfn.TEXTAFTER($I43,"-",,1)," ",,1,1,))*1</f>
        <v>100</v>
      </c>
      <c r="L43" s="2" t="str">
        <f>LEFT('    #StatsTable'!$I43,1)</f>
        <v>W</v>
      </c>
      <c r="M43" s="2">
        <f>IF('    #StatsTable'!$L43="W", M42+1,M42)</f>
        <v>26</v>
      </c>
      <c r="N43" s="2">
        <f>IF('    #StatsTable'!$L43="L",N42+1,N42)</f>
        <v>16</v>
      </c>
      <c r="O43" s="2" t="s">
        <v>0</v>
      </c>
      <c r="P43" s="4">
        <v>1.2548611111111112</v>
      </c>
      <c r="Q43" s="28">
        <v>7</v>
      </c>
      <c r="R43" s="28">
        <v>9</v>
      </c>
      <c r="S43" s="15">
        <v>0.77800000000000002</v>
      </c>
      <c r="T43" s="28">
        <v>0</v>
      </c>
      <c r="U43" s="28">
        <v>0</v>
      </c>
      <c r="V43" s="15" t="s">
        <v>208</v>
      </c>
      <c r="W43" s="28">
        <v>7</v>
      </c>
      <c r="X43" s="28">
        <v>9</v>
      </c>
      <c r="Y43" s="15">
        <v>0.77800000000000002</v>
      </c>
      <c r="Z43" s="15">
        <v>0.77800000000000002</v>
      </c>
      <c r="AA43" s="28">
        <v>6</v>
      </c>
      <c r="AB43" s="28">
        <v>7</v>
      </c>
      <c r="AC43" s="15">
        <v>0.85699999999999998</v>
      </c>
      <c r="AD43" s="28">
        <v>1</v>
      </c>
      <c r="AE43" s="28">
        <v>13</v>
      </c>
      <c r="AF43" s="28">
        <v>14</v>
      </c>
      <c r="AG43" s="28">
        <v>10</v>
      </c>
      <c r="AH43" s="28">
        <v>3</v>
      </c>
      <c r="AI43" s="28">
        <v>3</v>
      </c>
      <c r="AJ43" s="28">
        <v>2</v>
      </c>
      <c r="AK43" s="28">
        <v>0</v>
      </c>
      <c r="AL43" s="28">
        <v>20</v>
      </c>
      <c r="AM43" s="2">
        <v>30.8</v>
      </c>
      <c r="AN43" s="2">
        <v>20</v>
      </c>
      <c r="AO43" s="16">
        <v>0.82799999999999996</v>
      </c>
      <c r="AP43" s="16">
        <v>0.77800000000000002</v>
      </c>
      <c r="AQ43" s="16">
        <v>4.4000000000000004E-2</v>
      </c>
      <c r="AR43" s="16">
        <v>0.34499999999999997</v>
      </c>
      <c r="AS43" s="16">
        <v>0.23199999999999998</v>
      </c>
      <c r="AT43" s="16">
        <v>0.55299999999999994</v>
      </c>
      <c r="AU43" s="16">
        <v>4.9000000000000002E-2</v>
      </c>
      <c r="AV43" s="16">
        <v>7.8E-2</v>
      </c>
      <c r="AW43" s="16">
        <v>0.14199999999999999</v>
      </c>
      <c r="AX43" s="14">
        <v>0.20100000000000001</v>
      </c>
      <c r="AY43" s="19">
        <v>161</v>
      </c>
      <c r="AZ43" s="19">
        <v>82</v>
      </c>
      <c r="BA43" s="17">
        <v>30.8</v>
      </c>
      <c r="BB43" s="17">
        <v>29</v>
      </c>
    </row>
    <row r="44" spans="2:54" ht="16" x14ac:dyDescent="0.2">
      <c r="B44" s="1">
        <v>37</v>
      </c>
      <c r="C44" s="2">
        <v>712</v>
      </c>
      <c r="D44" s="2">
        <v>43</v>
      </c>
      <c r="E44" s="3">
        <v>45678</v>
      </c>
      <c r="F44" s="2" t="s">
        <v>4</v>
      </c>
      <c r="G44" s="2"/>
      <c r="H44" s="2" t="s">
        <v>59</v>
      </c>
      <c r="I44" s="2" t="s">
        <v>65</v>
      </c>
      <c r="J44" s="11">
        <f>(_xlfn.TEXTBEFORE(_xlfn.TEXTAFTER($I44,", ",,1),"-",,1,1,))*1</f>
        <v>144</v>
      </c>
      <c r="K44" s="11">
        <f>(_xlfn.TEXTBEFORE(_xlfn.TEXTAFTER($I44,"-",,1)," ",,1,1,))*1</f>
        <v>109</v>
      </c>
      <c r="L44" s="2" t="str">
        <f>LEFT('    #StatsTable'!$I44,1)</f>
        <v>W</v>
      </c>
      <c r="M44" s="2">
        <f>IF('    #StatsTable'!$L44="W", M43+1,M43)</f>
        <v>27</v>
      </c>
      <c r="N44" s="2">
        <f>IF('    #StatsTable'!$L44="L",N43+1,N43)</f>
        <v>16</v>
      </c>
      <c r="O44" s="2" t="s">
        <v>0</v>
      </c>
      <c r="P44" s="4">
        <v>1.2645833333333334</v>
      </c>
      <c r="Q44" s="28">
        <v>10</v>
      </c>
      <c r="R44" s="28">
        <v>15</v>
      </c>
      <c r="S44" s="15">
        <v>0.66700000000000004</v>
      </c>
      <c r="T44" s="28">
        <v>2</v>
      </c>
      <c r="U44" s="28">
        <v>3</v>
      </c>
      <c r="V44" s="15">
        <v>0.66700000000000004</v>
      </c>
      <c r="W44" s="28">
        <v>8</v>
      </c>
      <c r="X44" s="28">
        <v>12</v>
      </c>
      <c r="Y44" s="15">
        <v>0.66700000000000004</v>
      </c>
      <c r="Z44" s="15">
        <v>0.73299999999999998</v>
      </c>
      <c r="AA44" s="28">
        <v>5</v>
      </c>
      <c r="AB44" s="28">
        <v>5</v>
      </c>
      <c r="AC44" s="15">
        <v>1</v>
      </c>
      <c r="AD44" s="28">
        <v>5</v>
      </c>
      <c r="AE44" s="28">
        <v>8</v>
      </c>
      <c r="AF44" s="28">
        <v>13</v>
      </c>
      <c r="AG44" s="28">
        <v>10</v>
      </c>
      <c r="AH44" s="28">
        <v>4</v>
      </c>
      <c r="AI44" s="28">
        <v>1</v>
      </c>
      <c r="AJ44" s="28">
        <v>2</v>
      </c>
      <c r="AK44" s="28">
        <v>1</v>
      </c>
      <c r="AL44" s="28">
        <v>27</v>
      </c>
      <c r="AM44" s="2">
        <v>35.700000000000003</v>
      </c>
      <c r="AN44" s="2">
        <v>21</v>
      </c>
      <c r="AO44" s="16">
        <v>0.78500000000000003</v>
      </c>
      <c r="AP44" s="16">
        <v>0.73299999999999998</v>
      </c>
      <c r="AQ44" s="16">
        <v>0.255</v>
      </c>
      <c r="AR44" s="16">
        <v>0.28100000000000003</v>
      </c>
      <c r="AS44" s="16">
        <v>0.27100000000000002</v>
      </c>
      <c r="AT44" s="16">
        <v>0.43700000000000006</v>
      </c>
      <c r="AU44" s="16">
        <v>6.6000000000000003E-2</v>
      </c>
      <c r="AV44" s="16">
        <v>2.7000000000000003E-2</v>
      </c>
      <c r="AW44" s="16">
        <v>0.10400000000000001</v>
      </c>
      <c r="AX44" s="14">
        <v>0.27600000000000002</v>
      </c>
      <c r="AY44" s="19">
        <v>172</v>
      </c>
      <c r="AZ44" s="19">
        <v>98</v>
      </c>
      <c r="BA44" s="17">
        <v>35.700000000000003</v>
      </c>
      <c r="BB44" s="17">
        <v>24.1</v>
      </c>
    </row>
    <row r="45" spans="2:54" ht="16" x14ac:dyDescent="0.2">
      <c r="B45" s="1">
        <v>38</v>
      </c>
      <c r="C45" s="2">
        <v>713</v>
      </c>
      <c r="D45" s="2">
        <v>44</v>
      </c>
      <c r="E45" s="3">
        <v>45680</v>
      </c>
      <c r="F45" s="2" t="s">
        <v>4</v>
      </c>
      <c r="G45" s="2"/>
      <c r="H45" s="2" t="s">
        <v>8</v>
      </c>
      <c r="I45" s="2" t="s">
        <v>64</v>
      </c>
      <c r="J45" s="11">
        <f>(_xlfn.TEXTBEFORE(_xlfn.TEXTAFTER($I45,", ",,1),"-",,1,1,))*1</f>
        <v>132</v>
      </c>
      <c r="K45" s="11">
        <f>(_xlfn.TEXTBEFORE(_xlfn.TEXTAFTER($I45,"-",,1)," ",,1,1,))*1</f>
        <v>123</v>
      </c>
      <c r="L45" s="2" t="str">
        <f>LEFT('    #StatsTable'!$I45,1)</f>
        <v>W</v>
      </c>
      <c r="M45" s="2">
        <f>IF('    #StatsTable'!$L45="W", M44+1,M44)</f>
        <v>28</v>
      </c>
      <c r="N45" s="2">
        <f>IF('    #StatsTable'!$L45="L",N44+1,N44)</f>
        <v>16</v>
      </c>
      <c r="O45" s="2" t="s">
        <v>0</v>
      </c>
      <c r="P45" s="4">
        <v>1.5576388888888888</v>
      </c>
      <c r="Q45" s="28">
        <v>12</v>
      </c>
      <c r="R45" s="28">
        <v>19</v>
      </c>
      <c r="S45" s="15">
        <v>0.63200000000000001</v>
      </c>
      <c r="T45" s="28">
        <v>2</v>
      </c>
      <c r="U45" s="28">
        <v>3</v>
      </c>
      <c r="V45" s="15">
        <v>0.66700000000000004</v>
      </c>
      <c r="W45" s="28">
        <v>10</v>
      </c>
      <c r="X45" s="28">
        <v>16</v>
      </c>
      <c r="Y45" s="15">
        <v>0.625</v>
      </c>
      <c r="Z45" s="15">
        <v>0.68400000000000005</v>
      </c>
      <c r="AA45" s="28">
        <v>9</v>
      </c>
      <c r="AB45" s="28">
        <v>10</v>
      </c>
      <c r="AC45" s="15">
        <v>0.9</v>
      </c>
      <c r="AD45" s="28">
        <v>3</v>
      </c>
      <c r="AE45" s="28">
        <v>19</v>
      </c>
      <c r="AF45" s="28">
        <v>22</v>
      </c>
      <c r="AG45" s="28">
        <v>17</v>
      </c>
      <c r="AH45" s="28">
        <v>1</v>
      </c>
      <c r="AI45" s="28">
        <v>2</v>
      </c>
      <c r="AJ45" s="28">
        <v>1</v>
      </c>
      <c r="AK45" s="28">
        <v>5</v>
      </c>
      <c r="AL45" s="28">
        <v>35</v>
      </c>
      <c r="AM45" s="2">
        <v>45.2</v>
      </c>
      <c r="AN45" s="2">
        <v>11</v>
      </c>
      <c r="AO45" s="16">
        <v>0.748</v>
      </c>
      <c r="AP45" s="16">
        <v>0.68400000000000005</v>
      </c>
      <c r="AQ45" s="16">
        <v>7.5999999999999998E-2</v>
      </c>
      <c r="AR45" s="16">
        <v>0.42100000000000004</v>
      </c>
      <c r="AS45" s="16">
        <v>0.25900000000000001</v>
      </c>
      <c r="AT45" s="16">
        <v>0.65</v>
      </c>
      <c r="AU45" s="16">
        <v>1.2E-2</v>
      </c>
      <c r="AV45" s="16">
        <v>3.9E-2</v>
      </c>
      <c r="AW45" s="16">
        <v>4.0999999999999995E-2</v>
      </c>
      <c r="AX45" s="14">
        <v>0.249</v>
      </c>
      <c r="AY45" s="19">
        <v>169</v>
      </c>
      <c r="AZ45" s="19">
        <v>102</v>
      </c>
      <c r="BA45" s="17">
        <v>45.2</v>
      </c>
      <c r="BB45" s="17">
        <v>26.4</v>
      </c>
    </row>
    <row r="46" spans="2:54" ht="16" x14ac:dyDescent="0.2">
      <c r="B46" s="1">
        <v>39</v>
      </c>
      <c r="C46" s="2">
        <v>714</v>
      </c>
      <c r="D46" s="2">
        <v>45</v>
      </c>
      <c r="E46" s="3">
        <v>45682</v>
      </c>
      <c r="F46" s="2" t="s">
        <v>4</v>
      </c>
      <c r="G46" s="2" t="s">
        <v>3</v>
      </c>
      <c r="H46" s="2" t="s">
        <v>17</v>
      </c>
      <c r="I46" s="2" t="s">
        <v>63</v>
      </c>
      <c r="J46" s="11">
        <f>(_xlfn.TEXTBEFORE(_xlfn.TEXTAFTER($I46,", ",,1),"-",,1,1,))*1</f>
        <v>104</v>
      </c>
      <c r="K46" s="11">
        <f>(_xlfn.TEXTBEFORE(_xlfn.TEXTAFTER($I46,"-",,1)," ",,1,1,))*1</f>
        <v>133</v>
      </c>
      <c r="L46" s="2" t="str">
        <f>LEFT('    #StatsTable'!$I46,1)</f>
        <v>L</v>
      </c>
      <c r="M46" s="2">
        <f>IF('    #StatsTable'!$L46="W", M45+1,M45)</f>
        <v>28</v>
      </c>
      <c r="N46" s="2">
        <f>IF('    #StatsTable'!$L46="L",N45+1,N45)</f>
        <v>17</v>
      </c>
      <c r="O46" s="2" t="s">
        <v>0</v>
      </c>
      <c r="P46" s="4">
        <v>1.35</v>
      </c>
      <c r="Q46" s="28">
        <v>9</v>
      </c>
      <c r="R46" s="28">
        <v>13</v>
      </c>
      <c r="S46" s="15">
        <v>0.69199999999999995</v>
      </c>
      <c r="T46" s="28">
        <v>2</v>
      </c>
      <c r="U46" s="28">
        <v>4</v>
      </c>
      <c r="V46" s="15">
        <v>0.5</v>
      </c>
      <c r="W46" s="28">
        <v>7</v>
      </c>
      <c r="X46" s="28">
        <v>9</v>
      </c>
      <c r="Y46" s="15">
        <v>0.77800000000000002</v>
      </c>
      <c r="Z46" s="15">
        <v>0.76900000000000002</v>
      </c>
      <c r="AA46" s="28">
        <v>0</v>
      </c>
      <c r="AB46" s="28">
        <v>1</v>
      </c>
      <c r="AC46" s="15">
        <v>0</v>
      </c>
      <c r="AD46" s="28">
        <v>1</v>
      </c>
      <c r="AE46" s="28">
        <v>2</v>
      </c>
      <c r="AF46" s="28">
        <v>3</v>
      </c>
      <c r="AG46" s="28">
        <v>11</v>
      </c>
      <c r="AH46" s="28">
        <v>0</v>
      </c>
      <c r="AI46" s="28">
        <v>0</v>
      </c>
      <c r="AJ46" s="28">
        <v>7</v>
      </c>
      <c r="AK46" s="28">
        <v>0</v>
      </c>
      <c r="AL46" s="28">
        <v>20</v>
      </c>
      <c r="AM46" s="2">
        <v>16.100000000000001</v>
      </c>
      <c r="AN46" s="2">
        <v>-24</v>
      </c>
      <c r="AO46" s="16">
        <v>0.74399999999999999</v>
      </c>
      <c r="AP46" s="16">
        <v>0.76900000000000002</v>
      </c>
      <c r="AQ46" s="16">
        <v>3.6000000000000004E-2</v>
      </c>
      <c r="AR46" s="16">
        <v>7.400000000000001E-2</v>
      </c>
      <c r="AS46" s="16">
        <v>5.5E-2</v>
      </c>
      <c r="AT46" s="16">
        <v>0.54899999999999993</v>
      </c>
      <c r="AU46" s="16">
        <v>0</v>
      </c>
      <c r="AV46" s="16">
        <v>0</v>
      </c>
      <c r="AW46" s="16">
        <v>0.34200000000000003</v>
      </c>
      <c r="AX46" s="14">
        <v>0.26600000000000001</v>
      </c>
      <c r="AY46" s="19">
        <v>109</v>
      </c>
      <c r="AZ46" s="19">
        <v>142</v>
      </c>
      <c r="BA46" s="17">
        <v>16.100000000000001</v>
      </c>
      <c r="BB46" s="17">
        <v>4.9000000000000004</v>
      </c>
    </row>
    <row r="47" spans="2:54" ht="16" x14ac:dyDescent="0.2">
      <c r="B47" s="1">
        <v>40</v>
      </c>
      <c r="C47" s="2">
        <v>715</v>
      </c>
      <c r="D47" s="2">
        <v>46</v>
      </c>
      <c r="E47" s="3">
        <v>45684</v>
      </c>
      <c r="F47" s="2" t="s">
        <v>4</v>
      </c>
      <c r="G47" s="2" t="s">
        <v>3</v>
      </c>
      <c r="H47" s="2" t="s">
        <v>23</v>
      </c>
      <c r="I47" s="2" t="s">
        <v>62</v>
      </c>
      <c r="J47" s="11">
        <f>(_xlfn.TEXTBEFORE(_xlfn.TEXTAFTER($I47,", ",,1),"-",,1,1,))*1</f>
        <v>121</v>
      </c>
      <c r="K47" s="11">
        <f>(_xlfn.TEXTBEFORE(_xlfn.TEXTAFTER($I47,"-",,1)," ",,1,1,))*1</f>
        <v>129</v>
      </c>
      <c r="L47" s="2" t="str">
        <f>LEFT('    #StatsTable'!$I47,1)</f>
        <v>L</v>
      </c>
      <c r="M47" s="2">
        <f>IF('    #StatsTable'!$L47="W", M46+1,M46)</f>
        <v>28</v>
      </c>
      <c r="N47" s="2">
        <f>IF('    #StatsTable'!$L47="L",N46+1,N46)</f>
        <v>18</v>
      </c>
      <c r="O47" s="2" t="s">
        <v>0</v>
      </c>
      <c r="P47" s="4">
        <v>1.6548611111111111</v>
      </c>
      <c r="Q47" s="28">
        <v>15</v>
      </c>
      <c r="R47" s="28">
        <v>21</v>
      </c>
      <c r="S47" s="15">
        <v>0.71399999999999997</v>
      </c>
      <c r="T47" s="28">
        <v>1</v>
      </c>
      <c r="U47" s="28">
        <v>4</v>
      </c>
      <c r="V47" s="15">
        <v>0.25</v>
      </c>
      <c r="W47" s="28">
        <v>14</v>
      </c>
      <c r="X47" s="28">
        <v>17</v>
      </c>
      <c r="Y47" s="15">
        <v>0.82399999999999995</v>
      </c>
      <c r="Z47" s="15">
        <v>0.73799999999999999</v>
      </c>
      <c r="AA47" s="28">
        <v>2</v>
      </c>
      <c r="AB47" s="28">
        <v>2</v>
      </c>
      <c r="AC47" s="15">
        <v>1</v>
      </c>
      <c r="AD47" s="28">
        <v>2</v>
      </c>
      <c r="AE47" s="28">
        <v>10</v>
      </c>
      <c r="AF47" s="28">
        <v>12</v>
      </c>
      <c r="AG47" s="28">
        <v>14</v>
      </c>
      <c r="AH47" s="28">
        <v>1</v>
      </c>
      <c r="AI47" s="28">
        <v>1</v>
      </c>
      <c r="AJ47" s="28">
        <v>4</v>
      </c>
      <c r="AK47" s="28">
        <v>1</v>
      </c>
      <c r="AL47" s="28">
        <v>33</v>
      </c>
      <c r="AM47" s="2">
        <v>35.799999999999997</v>
      </c>
      <c r="AN47" s="2">
        <v>1</v>
      </c>
      <c r="AO47" s="16">
        <v>0.754</v>
      </c>
      <c r="AP47" s="16">
        <v>0.73799999999999999</v>
      </c>
      <c r="AQ47" s="16">
        <v>5.2999999999999999E-2</v>
      </c>
      <c r="AR47" s="16">
        <v>0.28100000000000003</v>
      </c>
      <c r="AS47" s="16">
        <v>0.16300000000000001</v>
      </c>
      <c r="AT47" s="16">
        <v>0.5</v>
      </c>
      <c r="AU47" s="16">
        <v>1.2E-2</v>
      </c>
      <c r="AV47" s="16">
        <v>2.7000000000000003E-2</v>
      </c>
      <c r="AW47" s="16">
        <v>0.155</v>
      </c>
      <c r="AX47" s="14">
        <v>0.26100000000000001</v>
      </c>
      <c r="AY47" s="19">
        <v>138</v>
      </c>
      <c r="AZ47" s="19">
        <v>123</v>
      </c>
      <c r="BA47" s="17">
        <v>35.799999999999997</v>
      </c>
      <c r="BB47" s="17">
        <v>14.7</v>
      </c>
    </row>
    <row r="48" spans="2:54" ht="16" x14ac:dyDescent="0.2">
      <c r="B48" s="1">
        <v>41</v>
      </c>
      <c r="C48" s="2">
        <v>716</v>
      </c>
      <c r="D48" s="2">
        <v>47</v>
      </c>
      <c r="E48" s="3">
        <v>45686</v>
      </c>
      <c r="F48" s="2" t="s">
        <v>4</v>
      </c>
      <c r="G48" s="2" t="s">
        <v>3</v>
      </c>
      <c r="H48" s="2" t="s">
        <v>61</v>
      </c>
      <c r="I48" s="2" t="s">
        <v>60</v>
      </c>
      <c r="J48" s="11">
        <f>(_xlfn.TEXTBEFORE(_xlfn.TEXTAFTER($I48,", ",,1),"-",,1,1,))*1</f>
        <v>112</v>
      </c>
      <c r="K48" s="11">
        <f>(_xlfn.TEXTBEFORE(_xlfn.TEXTAFTER($I48,"-",,1)," ",,1,1,))*1</f>
        <v>122</v>
      </c>
      <c r="L48" s="2" t="str">
        <f>LEFT('    #StatsTable'!$I48,1)</f>
        <v>L</v>
      </c>
      <c r="M48" s="2">
        <f>IF('    #StatsTable'!$L48="W", M47+1,M47)</f>
        <v>28</v>
      </c>
      <c r="N48" s="2">
        <f>IF('    #StatsTable'!$L48="L",N47+1,N47)</f>
        <v>19</v>
      </c>
      <c r="O48" s="2" t="s">
        <v>0</v>
      </c>
      <c r="P48" s="4">
        <v>1.3930555555555555</v>
      </c>
      <c r="Q48" s="28">
        <v>6</v>
      </c>
      <c r="R48" s="28">
        <v>15</v>
      </c>
      <c r="S48" s="15">
        <v>0.4</v>
      </c>
      <c r="T48" s="28">
        <v>3</v>
      </c>
      <c r="U48" s="28">
        <v>7</v>
      </c>
      <c r="V48" s="15">
        <v>0.42899999999999999</v>
      </c>
      <c r="W48" s="28">
        <v>3</v>
      </c>
      <c r="X48" s="28">
        <v>8</v>
      </c>
      <c r="Y48" s="15">
        <v>0.375</v>
      </c>
      <c r="Z48" s="15">
        <v>0.5</v>
      </c>
      <c r="AA48" s="28">
        <v>2</v>
      </c>
      <c r="AB48" s="28">
        <v>2</v>
      </c>
      <c r="AC48" s="15">
        <v>1</v>
      </c>
      <c r="AD48" s="28">
        <v>0</v>
      </c>
      <c r="AE48" s="28">
        <v>6</v>
      </c>
      <c r="AF48" s="28">
        <v>6</v>
      </c>
      <c r="AG48" s="28">
        <v>6</v>
      </c>
      <c r="AH48" s="28">
        <v>2</v>
      </c>
      <c r="AI48" s="28">
        <v>1</v>
      </c>
      <c r="AJ48" s="28">
        <v>2</v>
      </c>
      <c r="AK48" s="28">
        <v>3</v>
      </c>
      <c r="AL48" s="28">
        <v>17</v>
      </c>
      <c r="AM48" s="2">
        <v>14.4</v>
      </c>
      <c r="AN48" s="2">
        <v>-3</v>
      </c>
      <c r="AO48" s="16">
        <v>0.53500000000000003</v>
      </c>
      <c r="AP48" s="16">
        <v>0.5</v>
      </c>
      <c r="AQ48" s="16">
        <v>0</v>
      </c>
      <c r="AR48" s="16">
        <v>0.20499999999999999</v>
      </c>
      <c r="AS48" s="16">
        <v>0.105</v>
      </c>
      <c r="AT48" s="16">
        <v>0.26600000000000001</v>
      </c>
      <c r="AU48" s="16">
        <v>0.03</v>
      </c>
      <c r="AV48" s="16">
        <v>2.4E-2</v>
      </c>
      <c r="AW48" s="16">
        <v>0.11199999999999999</v>
      </c>
      <c r="AX48" s="14">
        <v>0.23699999999999999</v>
      </c>
      <c r="AY48" s="19">
        <v>114</v>
      </c>
      <c r="AZ48" s="19">
        <v>119</v>
      </c>
      <c r="BA48" s="17">
        <v>14.4</v>
      </c>
      <c r="BB48" s="17">
        <v>5.3</v>
      </c>
    </row>
    <row r="49" spans="2:54" ht="16" x14ac:dyDescent="0.2">
      <c r="B49" s="1">
        <v>42</v>
      </c>
      <c r="C49" s="2">
        <v>717</v>
      </c>
      <c r="D49" s="2">
        <v>48</v>
      </c>
      <c r="E49" s="3">
        <v>45688</v>
      </c>
      <c r="F49" s="2" t="s">
        <v>4</v>
      </c>
      <c r="G49" s="2" t="s">
        <v>3</v>
      </c>
      <c r="H49" s="2" t="s">
        <v>59</v>
      </c>
      <c r="I49" s="2" t="s">
        <v>58</v>
      </c>
      <c r="J49" s="11">
        <f>(_xlfn.TEXTBEFORE(_xlfn.TEXTAFTER($I49,", ",,1),"-",,1,1,))*1</f>
        <v>137</v>
      </c>
      <c r="K49" s="11">
        <f>(_xlfn.TEXTBEFORE(_xlfn.TEXTAFTER($I49,"-",,1)," ",,1,1,))*1</f>
        <v>134</v>
      </c>
      <c r="L49" s="2" t="str">
        <f>LEFT('    #StatsTable'!$I49,1)</f>
        <v>W</v>
      </c>
      <c r="M49" s="2">
        <f>IF('    #StatsTable'!$L49="W", M48+1,M48)</f>
        <v>29</v>
      </c>
      <c r="N49" s="2">
        <f>IF('    #StatsTable'!$L49="L",N48+1,N48)</f>
        <v>19</v>
      </c>
      <c r="O49" s="2" t="s">
        <v>0</v>
      </c>
      <c r="P49" s="4">
        <v>1.5611111111111111</v>
      </c>
      <c r="Q49" s="28">
        <v>11</v>
      </c>
      <c r="R49" s="28">
        <v>16</v>
      </c>
      <c r="S49" s="15">
        <v>0.68799999999999994</v>
      </c>
      <c r="T49" s="28">
        <v>2</v>
      </c>
      <c r="U49" s="28">
        <v>3</v>
      </c>
      <c r="V49" s="15">
        <v>0.66700000000000004</v>
      </c>
      <c r="W49" s="28">
        <v>9</v>
      </c>
      <c r="X49" s="28">
        <v>13</v>
      </c>
      <c r="Y49" s="15">
        <v>0.69199999999999995</v>
      </c>
      <c r="Z49" s="15">
        <v>0.75</v>
      </c>
      <c r="AA49" s="28">
        <v>4</v>
      </c>
      <c r="AB49" s="28">
        <v>5</v>
      </c>
      <c r="AC49" s="15">
        <v>0.8</v>
      </c>
      <c r="AD49" s="28">
        <v>2</v>
      </c>
      <c r="AE49" s="28">
        <v>7</v>
      </c>
      <c r="AF49" s="28">
        <v>9</v>
      </c>
      <c r="AG49" s="28">
        <v>13</v>
      </c>
      <c r="AH49" s="28">
        <v>2</v>
      </c>
      <c r="AI49" s="28">
        <v>0</v>
      </c>
      <c r="AJ49" s="28">
        <v>6</v>
      </c>
      <c r="AK49" s="28">
        <v>3</v>
      </c>
      <c r="AL49" s="28">
        <v>28</v>
      </c>
      <c r="AM49" s="2">
        <v>28.2</v>
      </c>
      <c r="AN49" s="2">
        <v>0</v>
      </c>
      <c r="AO49" s="16">
        <v>0.76900000000000002</v>
      </c>
      <c r="AP49" s="16">
        <v>0.75</v>
      </c>
      <c r="AQ49" s="16">
        <v>0.10199999999999999</v>
      </c>
      <c r="AR49" s="16">
        <v>0.24199999999999999</v>
      </c>
      <c r="AS49" s="16">
        <v>0.18600000000000003</v>
      </c>
      <c r="AT49" s="16">
        <v>0.41700000000000004</v>
      </c>
      <c r="AU49" s="16">
        <v>2.6000000000000002E-2</v>
      </c>
      <c r="AV49" s="16">
        <v>0</v>
      </c>
      <c r="AW49" s="16">
        <v>0.248</v>
      </c>
      <c r="AX49" s="14">
        <v>0.28499999999999998</v>
      </c>
      <c r="AY49" s="19">
        <v>137</v>
      </c>
      <c r="AZ49" s="19">
        <v>133</v>
      </c>
      <c r="BA49" s="17">
        <v>28.2</v>
      </c>
      <c r="BB49" s="17">
        <v>7.6</v>
      </c>
    </row>
    <row r="50" spans="2:54" ht="16" x14ac:dyDescent="0.2">
      <c r="B50" s="1">
        <v>43</v>
      </c>
      <c r="C50" s="2">
        <v>718</v>
      </c>
      <c r="D50" s="2">
        <v>49</v>
      </c>
      <c r="E50" s="3">
        <v>45689</v>
      </c>
      <c r="F50" s="2" t="s">
        <v>4</v>
      </c>
      <c r="G50" s="2" t="s">
        <v>3</v>
      </c>
      <c r="H50" s="2" t="s">
        <v>48</v>
      </c>
      <c r="I50" s="2" t="s">
        <v>57</v>
      </c>
      <c r="J50" s="11">
        <f>(_xlfn.TEXTBEFORE(_xlfn.TEXTAFTER($I50,", ",,1),"-",,1,1,))*1</f>
        <v>107</v>
      </c>
      <c r="K50" s="11">
        <f>(_xlfn.TEXTBEFORE(_xlfn.TEXTAFTER($I50,"-",,1)," ",,1,1,))*1</f>
        <v>104</v>
      </c>
      <c r="L50" s="2" t="str">
        <f>LEFT('    #StatsTable'!$I50,1)</f>
        <v>W</v>
      </c>
      <c r="M50" s="2">
        <f>IF('    #StatsTable'!$L50="W", M49+1,M49)</f>
        <v>30</v>
      </c>
      <c r="N50" s="2">
        <f>IF('    #StatsTable'!$L50="L",N49+1,N49)</f>
        <v>19</v>
      </c>
      <c r="O50" s="2" t="s">
        <v>0</v>
      </c>
      <c r="P50" s="4">
        <v>1.5229166666666667</v>
      </c>
      <c r="Q50" s="28">
        <v>9</v>
      </c>
      <c r="R50" s="28">
        <v>17</v>
      </c>
      <c r="S50" s="15">
        <v>0.52900000000000003</v>
      </c>
      <c r="T50" s="28">
        <v>2</v>
      </c>
      <c r="U50" s="28">
        <v>7</v>
      </c>
      <c r="V50" s="15">
        <v>0.28599999999999998</v>
      </c>
      <c r="W50" s="28">
        <v>7</v>
      </c>
      <c r="X50" s="28">
        <v>10</v>
      </c>
      <c r="Y50" s="15">
        <v>0.7</v>
      </c>
      <c r="Z50" s="15">
        <v>0.58799999999999997</v>
      </c>
      <c r="AA50" s="28">
        <v>8</v>
      </c>
      <c r="AB50" s="28">
        <v>9</v>
      </c>
      <c r="AC50" s="15">
        <v>0.88900000000000001</v>
      </c>
      <c r="AD50" s="28">
        <v>1</v>
      </c>
      <c r="AE50" s="28">
        <v>12</v>
      </c>
      <c r="AF50" s="28">
        <v>13</v>
      </c>
      <c r="AG50" s="28">
        <v>17</v>
      </c>
      <c r="AH50" s="28">
        <v>4</v>
      </c>
      <c r="AI50" s="28">
        <v>1</v>
      </c>
      <c r="AJ50" s="28">
        <v>4</v>
      </c>
      <c r="AK50" s="28">
        <v>2</v>
      </c>
      <c r="AL50" s="28">
        <v>28</v>
      </c>
      <c r="AM50" s="2">
        <v>35.4</v>
      </c>
      <c r="AN50" s="2">
        <v>-2</v>
      </c>
      <c r="AO50" s="16">
        <v>0.66800000000000004</v>
      </c>
      <c r="AP50" s="16">
        <v>0.58799999999999997</v>
      </c>
      <c r="AQ50" s="16">
        <v>2.8999999999999998E-2</v>
      </c>
      <c r="AR50" s="16">
        <v>0.32799999999999996</v>
      </c>
      <c r="AS50" s="16">
        <v>0.182</v>
      </c>
      <c r="AT50" s="16">
        <v>0.76500000000000001</v>
      </c>
      <c r="AU50" s="16">
        <v>5.2999999999999999E-2</v>
      </c>
      <c r="AV50" s="16">
        <v>1.9E-2</v>
      </c>
      <c r="AW50" s="16">
        <v>0.16</v>
      </c>
      <c r="AX50" s="14">
        <v>0.30399999999999999</v>
      </c>
      <c r="AY50" s="19">
        <v>131</v>
      </c>
      <c r="AZ50" s="19">
        <v>93</v>
      </c>
      <c r="BA50" s="17">
        <v>35.4</v>
      </c>
      <c r="BB50" s="17">
        <v>24.4</v>
      </c>
    </row>
    <row r="51" spans="2:54" ht="16" x14ac:dyDescent="0.2">
      <c r="B51" s="1">
        <v>44</v>
      </c>
      <c r="C51" s="2">
        <v>719</v>
      </c>
      <c r="D51" s="2">
        <v>50</v>
      </c>
      <c r="E51" s="3">
        <v>45691</v>
      </c>
      <c r="F51" s="2" t="s">
        <v>4</v>
      </c>
      <c r="G51" s="2"/>
      <c r="H51" s="2" t="s">
        <v>55</v>
      </c>
      <c r="I51" s="2" t="s">
        <v>56</v>
      </c>
      <c r="J51" s="11">
        <f>(_xlfn.TEXTBEFORE(_xlfn.TEXTAFTER($I51,", ",,1),"-",,1,1,))*1</f>
        <v>125</v>
      </c>
      <c r="K51" s="11">
        <f>(_xlfn.TEXTBEFORE(_xlfn.TEXTAFTER($I51,"-",,1)," ",,1,1,))*1</f>
        <v>113</v>
      </c>
      <c r="L51" s="2" t="str">
        <f>LEFT('    #StatsTable'!$I51,1)</f>
        <v>W</v>
      </c>
      <c r="M51" s="2">
        <f>IF('    #StatsTable'!$L51="W", M50+1,M50)</f>
        <v>31</v>
      </c>
      <c r="N51" s="2">
        <f>IF('    #StatsTable'!$L51="L",N50+1,N50)</f>
        <v>19</v>
      </c>
      <c r="O51" s="2" t="s">
        <v>0</v>
      </c>
      <c r="P51" s="4">
        <v>1.5027777777777778</v>
      </c>
      <c r="Q51" s="28">
        <v>9</v>
      </c>
      <c r="R51" s="28">
        <v>13</v>
      </c>
      <c r="S51" s="15">
        <v>0.69199999999999995</v>
      </c>
      <c r="T51" s="28">
        <v>1</v>
      </c>
      <c r="U51" s="28">
        <v>3</v>
      </c>
      <c r="V51" s="15">
        <v>0.33300000000000002</v>
      </c>
      <c r="W51" s="28">
        <v>8</v>
      </c>
      <c r="X51" s="28">
        <v>10</v>
      </c>
      <c r="Y51" s="15">
        <v>0.8</v>
      </c>
      <c r="Z51" s="15">
        <v>0.73099999999999998</v>
      </c>
      <c r="AA51" s="28">
        <v>8</v>
      </c>
      <c r="AB51" s="28">
        <v>10</v>
      </c>
      <c r="AC51" s="15">
        <v>0.8</v>
      </c>
      <c r="AD51" s="28">
        <v>1</v>
      </c>
      <c r="AE51" s="28">
        <v>13</v>
      </c>
      <c r="AF51" s="28">
        <v>14</v>
      </c>
      <c r="AG51" s="28">
        <v>10</v>
      </c>
      <c r="AH51" s="28">
        <v>1</v>
      </c>
      <c r="AI51" s="28">
        <v>2</v>
      </c>
      <c r="AJ51" s="28">
        <v>1</v>
      </c>
      <c r="AK51" s="28">
        <v>2</v>
      </c>
      <c r="AL51" s="28">
        <v>27</v>
      </c>
      <c r="AM51" s="2">
        <v>32.9</v>
      </c>
      <c r="AN51" s="2">
        <v>11</v>
      </c>
      <c r="AO51" s="16">
        <v>0.77600000000000002</v>
      </c>
      <c r="AP51" s="16">
        <v>0.73099999999999998</v>
      </c>
      <c r="AQ51" s="16">
        <v>3.2000000000000001E-2</v>
      </c>
      <c r="AR51" s="16">
        <v>0.376</v>
      </c>
      <c r="AS51" s="16">
        <v>0.214</v>
      </c>
      <c r="AT51" s="16">
        <v>0.39100000000000001</v>
      </c>
      <c r="AU51" s="16">
        <v>1.4999999999999999E-2</v>
      </c>
      <c r="AV51" s="16">
        <v>5.2999999999999999E-2</v>
      </c>
      <c r="AW51" s="16">
        <v>5.4000000000000006E-2</v>
      </c>
      <c r="AX51" s="14">
        <v>0.22399999999999998</v>
      </c>
      <c r="AY51" s="19">
        <v>167</v>
      </c>
      <c r="AZ51" s="19">
        <v>112</v>
      </c>
      <c r="BA51" s="17">
        <v>32.9</v>
      </c>
      <c r="BB51" s="17">
        <v>19.5</v>
      </c>
    </row>
    <row r="52" spans="2:54" ht="16" x14ac:dyDescent="0.2">
      <c r="B52" s="1">
        <v>45</v>
      </c>
      <c r="C52" s="2">
        <v>720</v>
      </c>
      <c r="D52" s="2">
        <v>51</v>
      </c>
      <c r="E52" s="3">
        <v>45693</v>
      </c>
      <c r="F52" s="2" t="s">
        <v>4</v>
      </c>
      <c r="G52" s="2"/>
      <c r="H52" s="2" t="s">
        <v>55</v>
      </c>
      <c r="I52" s="2" t="s">
        <v>54</v>
      </c>
      <c r="J52" s="11">
        <f>(_xlfn.TEXTBEFORE(_xlfn.TEXTAFTER($I52,", ",,1),"-",,1,1,))*1</f>
        <v>144</v>
      </c>
      <c r="K52" s="11">
        <f>(_xlfn.TEXTBEFORE(_xlfn.TEXTAFTER($I52,"-",,1)," ",,1,1,))*1</f>
        <v>119</v>
      </c>
      <c r="L52" s="2" t="str">
        <f>LEFT('    #StatsTable'!$I52,1)</f>
        <v>W</v>
      </c>
      <c r="M52" s="2">
        <f>IF('    #StatsTable'!$L52="W", M51+1,M51)</f>
        <v>32</v>
      </c>
      <c r="N52" s="2">
        <f>IF('    #StatsTable'!$L52="L",N51+1,N51)</f>
        <v>19</v>
      </c>
      <c r="O52" s="2" t="s">
        <v>0</v>
      </c>
      <c r="P52" s="4">
        <v>1.4875</v>
      </c>
      <c r="Q52" s="28">
        <v>15</v>
      </c>
      <c r="R52" s="28">
        <v>28</v>
      </c>
      <c r="S52" s="15">
        <v>0.53600000000000003</v>
      </c>
      <c r="T52" s="28">
        <v>5</v>
      </c>
      <c r="U52" s="28">
        <v>13</v>
      </c>
      <c r="V52" s="15">
        <v>0.38500000000000001</v>
      </c>
      <c r="W52" s="28">
        <v>10</v>
      </c>
      <c r="X52" s="28">
        <v>15</v>
      </c>
      <c r="Y52" s="15">
        <v>0.66700000000000004</v>
      </c>
      <c r="Z52" s="15">
        <v>0.625</v>
      </c>
      <c r="AA52" s="28">
        <v>3</v>
      </c>
      <c r="AB52" s="28">
        <v>3</v>
      </c>
      <c r="AC52" s="15">
        <v>1</v>
      </c>
      <c r="AD52" s="28">
        <v>2</v>
      </c>
      <c r="AE52" s="28">
        <v>6</v>
      </c>
      <c r="AF52" s="28">
        <v>8</v>
      </c>
      <c r="AG52" s="28">
        <v>10</v>
      </c>
      <c r="AH52" s="28">
        <v>1</v>
      </c>
      <c r="AI52" s="28">
        <v>1</v>
      </c>
      <c r="AJ52" s="28">
        <v>1</v>
      </c>
      <c r="AK52" s="28">
        <v>3</v>
      </c>
      <c r="AL52" s="28">
        <v>38</v>
      </c>
      <c r="AM52" s="2">
        <v>34.1</v>
      </c>
      <c r="AN52" s="2">
        <v>24</v>
      </c>
      <c r="AO52" s="16">
        <v>0.64800000000000002</v>
      </c>
      <c r="AP52" s="16">
        <v>0.625</v>
      </c>
      <c r="AQ52" s="16">
        <v>6.6000000000000003E-2</v>
      </c>
      <c r="AR52" s="16">
        <v>0.16800000000000001</v>
      </c>
      <c r="AS52" s="16">
        <v>0.121</v>
      </c>
      <c r="AT52" s="16">
        <v>0.36499999999999999</v>
      </c>
      <c r="AU52" s="16">
        <v>1.3000000000000001E-2</v>
      </c>
      <c r="AV52" s="16">
        <v>2.1000000000000001E-2</v>
      </c>
      <c r="AW52" s="16">
        <v>3.3000000000000002E-2</v>
      </c>
      <c r="AX52" s="14">
        <v>0.35299999999999998</v>
      </c>
      <c r="AY52" s="19">
        <v>146</v>
      </c>
      <c r="AZ52" s="19">
        <v>117</v>
      </c>
      <c r="BA52" s="17">
        <v>34.1</v>
      </c>
      <c r="BB52" s="17">
        <v>12.2</v>
      </c>
    </row>
    <row r="53" spans="2:54" ht="16" x14ac:dyDescent="0.2">
      <c r="B53" s="1">
        <v>46</v>
      </c>
      <c r="C53" s="2">
        <v>721</v>
      </c>
      <c r="D53" s="2">
        <v>52</v>
      </c>
      <c r="E53" s="3">
        <v>45694</v>
      </c>
      <c r="F53" s="2" t="s">
        <v>4</v>
      </c>
      <c r="G53" s="2"/>
      <c r="H53" s="2" t="s">
        <v>53</v>
      </c>
      <c r="I53" s="2" t="s">
        <v>52</v>
      </c>
      <c r="J53" s="11">
        <f>(_xlfn.TEXTBEFORE(_xlfn.TEXTAFTER($I53,", ",,1),"-",,1,1,))*1</f>
        <v>112</v>
      </c>
      <c r="K53" s="11">
        <f>(_xlfn.TEXTBEFORE(_xlfn.TEXTAFTER($I53,"-",,1)," ",,1,1,))*1</f>
        <v>90</v>
      </c>
      <c r="L53" s="2" t="str">
        <f>LEFT('    #StatsTable'!$I53,1)</f>
        <v>W</v>
      </c>
      <c r="M53" s="2">
        <f>IF('    #StatsTable'!$L53="W", M52+1,M52)</f>
        <v>33</v>
      </c>
      <c r="N53" s="2">
        <f>IF('    #StatsTable'!$L53="L",N52+1,N52)</f>
        <v>19</v>
      </c>
      <c r="O53" s="2" t="s">
        <v>0</v>
      </c>
      <c r="P53" s="4">
        <v>1.2965277777777777</v>
      </c>
      <c r="Q53" s="28">
        <v>11</v>
      </c>
      <c r="R53" s="28">
        <v>16</v>
      </c>
      <c r="S53" s="15">
        <v>0.68799999999999994</v>
      </c>
      <c r="T53" s="28">
        <v>2</v>
      </c>
      <c r="U53" s="28">
        <v>4</v>
      </c>
      <c r="V53" s="15">
        <v>0.5</v>
      </c>
      <c r="W53" s="28">
        <v>9</v>
      </c>
      <c r="X53" s="28">
        <v>12</v>
      </c>
      <c r="Y53" s="15">
        <v>0.75</v>
      </c>
      <c r="Z53" s="15">
        <v>0.75</v>
      </c>
      <c r="AA53" s="28">
        <v>4</v>
      </c>
      <c r="AB53" s="28">
        <v>6</v>
      </c>
      <c r="AC53" s="15">
        <v>0.66700000000000004</v>
      </c>
      <c r="AD53" s="28">
        <v>0</v>
      </c>
      <c r="AE53" s="28">
        <v>10</v>
      </c>
      <c r="AF53" s="28">
        <v>10</v>
      </c>
      <c r="AG53" s="28">
        <v>12</v>
      </c>
      <c r="AH53" s="28">
        <v>2</v>
      </c>
      <c r="AI53" s="28">
        <v>0</v>
      </c>
      <c r="AJ53" s="28">
        <v>3</v>
      </c>
      <c r="AK53" s="28">
        <v>2</v>
      </c>
      <c r="AL53" s="28">
        <v>28</v>
      </c>
      <c r="AM53" s="2">
        <v>30</v>
      </c>
      <c r="AN53" s="2">
        <v>22</v>
      </c>
      <c r="AO53" s="16">
        <v>0.751</v>
      </c>
      <c r="AP53" s="16">
        <v>0.75</v>
      </c>
      <c r="AQ53" s="16">
        <v>0</v>
      </c>
      <c r="AR53" s="16">
        <v>0.29100000000000004</v>
      </c>
      <c r="AS53" s="16">
        <v>0.16800000000000001</v>
      </c>
      <c r="AT53" s="16">
        <v>0.68500000000000005</v>
      </c>
      <c r="AU53" s="16">
        <v>3.2000000000000001E-2</v>
      </c>
      <c r="AV53" s="16">
        <v>0</v>
      </c>
      <c r="AW53" s="16">
        <v>0.13900000000000001</v>
      </c>
      <c r="AX53" s="14">
        <v>0.29699999999999999</v>
      </c>
      <c r="AY53" s="19">
        <v>145</v>
      </c>
      <c r="AZ53" s="19">
        <v>84</v>
      </c>
      <c r="BA53" s="17">
        <v>30</v>
      </c>
      <c r="BB53" s="17">
        <v>24.3</v>
      </c>
    </row>
    <row r="54" spans="2:54" ht="16" x14ac:dyDescent="0.2">
      <c r="B54" s="1">
        <v>47</v>
      </c>
      <c r="C54" s="2">
        <v>722</v>
      </c>
      <c r="D54" s="2">
        <v>53</v>
      </c>
      <c r="E54" s="3">
        <v>45696</v>
      </c>
      <c r="F54" s="2" t="s">
        <v>4</v>
      </c>
      <c r="G54" s="2" t="s">
        <v>3</v>
      </c>
      <c r="H54" s="2" t="s">
        <v>38</v>
      </c>
      <c r="I54" s="2" t="s">
        <v>51</v>
      </c>
      <c r="J54" s="11">
        <f>(_xlfn.TEXTBEFORE(_xlfn.TEXTAFTER($I54,", ",,1),"-",,1,1,))*1</f>
        <v>122</v>
      </c>
      <c r="K54" s="11">
        <f>(_xlfn.TEXTBEFORE(_xlfn.TEXTAFTER($I54,"-",,1)," ",,1,1,))*1</f>
        <v>105</v>
      </c>
      <c r="L54" s="2" t="str">
        <f>LEFT('    #StatsTable'!$I54,1)</f>
        <v>W</v>
      </c>
      <c r="M54" s="2">
        <f>IF('    #StatsTable'!$L54="W", M53+1,M53)</f>
        <v>34</v>
      </c>
      <c r="N54" s="2">
        <f>IF('    #StatsTable'!$L54="L",N53+1,N53)</f>
        <v>19</v>
      </c>
      <c r="O54" s="2" t="s">
        <v>0</v>
      </c>
      <c r="P54" s="4">
        <v>1.1930555555555555</v>
      </c>
      <c r="Q54" s="28">
        <v>11</v>
      </c>
      <c r="R54" s="28">
        <v>13</v>
      </c>
      <c r="S54" s="15">
        <v>0.84599999999999997</v>
      </c>
      <c r="T54" s="28">
        <v>1</v>
      </c>
      <c r="U54" s="28">
        <v>2</v>
      </c>
      <c r="V54" s="15">
        <v>0.5</v>
      </c>
      <c r="W54" s="28">
        <v>10</v>
      </c>
      <c r="X54" s="28">
        <v>11</v>
      </c>
      <c r="Y54" s="15">
        <v>0.90900000000000003</v>
      </c>
      <c r="Z54" s="15">
        <v>0.88500000000000001</v>
      </c>
      <c r="AA54" s="28">
        <v>3</v>
      </c>
      <c r="AB54" s="28">
        <v>3</v>
      </c>
      <c r="AC54" s="15">
        <v>1</v>
      </c>
      <c r="AD54" s="28">
        <v>4</v>
      </c>
      <c r="AE54" s="28">
        <v>7</v>
      </c>
      <c r="AF54" s="28">
        <v>11</v>
      </c>
      <c r="AG54" s="28">
        <v>9</v>
      </c>
      <c r="AH54" s="28">
        <v>0</v>
      </c>
      <c r="AI54" s="28">
        <v>0</v>
      </c>
      <c r="AJ54" s="28">
        <v>2</v>
      </c>
      <c r="AK54" s="28">
        <v>4</v>
      </c>
      <c r="AL54" s="28">
        <v>26</v>
      </c>
      <c r="AM54" s="2">
        <v>28.9</v>
      </c>
      <c r="AN54" s="2">
        <v>19</v>
      </c>
      <c r="AO54" s="16">
        <v>0.90800000000000003</v>
      </c>
      <c r="AP54" s="16">
        <v>0.88500000000000001</v>
      </c>
      <c r="AQ54" s="16">
        <v>0.16399999999999998</v>
      </c>
      <c r="AR54" s="16">
        <v>0.20199999999999999</v>
      </c>
      <c r="AS54" s="16">
        <v>0.18600000000000003</v>
      </c>
      <c r="AT54" s="16">
        <v>0.56799999999999995</v>
      </c>
      <c r="AU54" s="16">
        <v>0</v>
      </c>
      <c r="AV54" s="16">
        <v>0</v>
      </c>
      <c r="AW54" s="16">
        <v>0.12300000000000001</v>
      </c>
      <c r="AX54" s="14">
        <v>0.25</v>
      </c>
      <c r="AY54" s="19">
        <v>176</v>
      </c>
      <c r="AZ54" s="19">
        <v>115</v>
      </c>
      <c r="BA54" s="17">
        <v>28.9</v>
      </c>
      <c r="BB54" s="17">
        <v>21</v>
      </c>
    </row>
    <row r="55" spans="2:54" ht="16" x14ac:dyDescent="0.2">
      <c r="B55" s="1">
        <v>48</v>
      </c>
      <c r="C55" s="2">
        <v>723</v>
      </c>
      <c r="D55" s="2">
        <v>54</v>
      </c>
      <c r="E55" s="3">
        <v>45698</v>
      </c>
      <c r="F55" s="2" t="s">
        <v>4</v>
      </c>
      <c r="G55" s="2"/>
      <c r="H55" s="2" t="s">
        <v>26</v>
      </c>
      <c r="I55" s="2" t="s">
        <v>50</v>
      </c>
      <c r="J55" s="11">
        <f>(_xlfn.TEXTBEFORE(_xlfn.TEXTAFTER($I55,", ",,1),"-",,1,1,))*1</f>
        <v>146</v>
      </c>
      <c r="K55" s="11">
        <f>(_xlfn.TEXTBEFORE(_xlfn.TEXTAFTER($I55,"-",,1)," ",,1,1,))*1</f>
        <v>117</v>
      </c>
      <c r="L55" s="2" t="str">
        <f>LEFT('    #StatsTable'!$I55,1)</f>
        <v>W</v>
      </c>
      <c r="M55" s="2">
        <f>IF('    #StatsTable'!$L55="W", M54+1,M54)</f>
        <v>35</v>
      </c>
      <c r="N55" s="2">
        <f>IF('    #StatsTable'!$L55="L",N54+1,N54)</f>
        <v>19</v>
      </c>
      <c r="O55" s="2" t="s">
        <v>0</v>
      </c>
      <c r="P55" s="4">
        <v>1.2819444444444446</v>
      </c>
      <c r="Q55" s="28">
        <v>15</v>
      </c>
      <c r="R55" s="28">
        <v>22</v>
      </c>
      <c r="S55" s="15">
        <v>0.68200000000000005</v>
      </c>
      <c r="T55" s="28">
        <v>2</v>
      </c>
      <c r="U55" s="28">
        <v>7</v>
      </c>
      <c r="V55" s="15">
        <v>0.28599999999999998</v>
      </c>
      <c r="W55" s="28">
        <v>13</v>
      </c>
      <c r="X55" s="28">
        <v>15</v>
      </c>
      <c r="Y55" s="15">
        <v>0.86699999999999999</v>
      </c>
      <c r="Z55" s="15">
        <v>0.72699999999999998</v>
      </c>
      <c r="AA55" s="28">
        <v>8</v>
      </c>
      <c r="AB55" s="28">
        <v>8</v>
      </c>
      <c r="AC55" s="15">
        <v>1</v>
      </c>
      <c r="AD55" s="28">
        <v>1</v>
      </c>
      <c r="AE55" s="28">
        <v>6</v>
      </c>
      <c r="AF55" s="28">
        <v>7</v>
      </c>
      <c r="AG55" s="28">
        <v>8</v>
      </c>
      <c r="AH55" s="28">
        <v>3</v>
      </c>
      <c r="AI55" s="28">
        <v>1</v>
      </c>
      <c r="AJ55" s="28">
        <v>5</v>
      </c>
      <c r="AK55" s="28">
        <v>2</v>
      </c>
      <c r="AL55" s="28">
        <v>40</v>
      </c>
      <c r="AM55" s="2">
        <v>36.6</v>
      </c>
      <c r="AN55" s="2">
        <v>22</v>
      </c>
      <c r="AO55" s="16">
        <v>0.78400000000000003</v>
      </c>
      <c r="AP55" s="16">
        <v>0.72699999999999998</v>
      </c>
      <c r="AQ55" s="16">
        <v>5.4000000000000006E-2</v>
      </c>
      <c r="AR55" s="16">
        <v>0.223</v>
      </c>
      <c r="AS55" s="16">
        <v>0.154</v>
      </c>
      <c r="AT55" s="16">
        <v>0.34100000000000003</v>
      </c>
      <c r="AU55" s="16">
        <v>4.5999999999999999E-2</v>
      </c>
      <c r="AV55" s="16">
        <v>3.1E-2</v>
      </c>
      <c r="AW55" s="16">
        <v>0.16399999999999998</v>
      </c>
      <c r="AX55" s="14">
        <v>0.434</v>
      </c>
      <c r="AY55" s="19">
        <v>135</v>
      </c>
      <c r="AZ55" s="19">
        <v>107</v>
      </c>
      <c r="BA55" s="17">
        <v>36.6</v>
      </c>
      <c r="BB55" s="17">
        <v>14.9</v>
      </c>
    </row>
    <row r="56" spans="2:54" ht="16" x14ac:dyDescent="0.2">
      <c r="B56" s="1">
        <v>49</v>
      </c>
      <c r="C56" s="2">
        <v>724</v>
      </c>
      <c r="D56" s="2">
        <v>55</v>
      </c>
      <c r="E56" s="3">
        <v>45700</v>
      </c>
      <c r="F56" s="2" t="s">
        <v>4</v>
      </c>
      <c r="G56" s="2"/>
      <c r="H56" s="2" t="s">
        <v>26</v>
      </c>
      <c r="I56" s="2" t="s">
        <v>49</v>
      </c>
      <c r="J56" s="11">
        <f>(_xlfn.TEXTBEFORE(_xlfn.TEXTAFTER($I56,", ",,1),"-",,1,1,))*1</f>
        <v>132</v>
      </c>
      <c r="K56" s="11">
        <f>(_xlfn.TEXTBEFORE(_xlfn.TEXTAFTER($I56,"-",,1)," ",,1,1,))*1</f>
        <v>121</v>
      </c>
      <c r="L56" s="2" t="str">
        <f>LEFT('    #StatsTable'!$I56,1)</f>
        <v>W</v>
      </c>
      <c r="M56" s="2">
        <f>IF('    #StatsTable'!$L56="W", M55+1,M55)</f>
        <v>36</v>
      </c>
      <c r="N56" s="2">
        <f>IF('    #StatsTable'!$L56="L",N55+1,N55)</f>
        <v>19</v>
      </c>
      <c r="O56" s="2" t="s">
        <v>0</v>
      </c>
      <c r="P56" s="4">
        <v>1.5020833333333334</v>
      </c>
      <c r="Q56" s="28">
        <v>11</v>
      </c>
      <c r="R56" s="28">
        <v>20</v>
      </c>
      <c r="S56" s="15">
        <v>0.55000000000000004</v>
      </c>
      <c r="T56" s="28">
        <v>0</v>
      </c>
      <c r="U56" s="28">
        <v>3</v>
      </c>
      <c r="V56" s="15">
        <v>0</v>
      </c>
      <c r="W56" s="28">
        <v>11</v>
      </c>
      <c r="X56" s="28">
        <v>17</v>
      </c>
      <c r="Y56" s="15">
        <v>0.64700000000000002</v>
      </c>
      <c r="Z56" s="15">
        <v>0.55000000000000004</v>
      </c>
      <c r="AA56" s="28">
        <v>4</v>
      </c>
      <c r="AB56" s="28">
        <v>4</v>
      </c>
      <c r="AC56" s="15">
        <v>1</v>
      </c>
      <c r="AD56" s="28">
        <v>3</v>
      </c>
      <c r="AE56" s="28">
        <v>12</v>
      </c>
      <c r="AF56" s="28">
        <v>15</v>
      </c>
      <c r="AG56" s="28">
        <v>10</v>
      </c>
      <c r="AH56" s="28">
        <v>2</v>
      </c>
      <c r="AI56" s="28">
        <v>0</v>
      </c>
      <c r="AJ56" s="28">
        <v>4</v>
      </c>
      <c r="AK56" s="28">
        <v>4</v>
      </c>
      <c r="AL56" s="28">
        <v>26</v>
      </c>
      <c r="AM56" s="2">
        <v>25.5</v>
      </c>
      <c r="AN56" s="2">
        <v>6</v>
      </c>
      <c r="AO56" s="16">
        <v>0.59699999999999998</v>
      </c>
      <c r="AP56" s="16">
        <v>0.55000000000000004</v>
      </c>
      <c r="AQ56" s="16">
        <v>9.3000000000000013E-2</v>
      </c>
      <c r="AR56" s="16">
        <v>0.313</v>
      </c>
      <c r="AS56" s="16">
        <v>0.21199999999999999</v>
      </c>
      <c r="AT56" s="16">
        <v>0.38799999999999996</v>
      </c>
      <c r="AU56" s="16">
        <v>2.6000000000000002E-2</v>
      </c>
      <c r="AV56" s="16">
        <v>0</v>
      </c>
      <c r="AW56" s="16">
        <v>0.155</v>
      </c>
      <c r="AX56" s="14">
        <v>0.28399999999999997</v>
      </c>
      <c r="AY56" s="19">
        <v>125</v>
      </c>
      <c r="AZ56" s="19">
        <v>110</v>
      </c>
      <c r="BA56" s="17">
        <v>25.5</v>
      </c>
      <c r="BB56" s="17">
        <v>5.8</v>
      </c>
    </row>
    <row r="57" spans="2:54" ht="16" x14ac:dyDescent="0.2">
      <c r="B57" s="1">
        <v>50</v>
      </c>
      <c r="C57" s="2">
        <v>725</v>
      </c>
      <c r="D57" s="2">
        <v>56</v>
      </c>
      <c r="E57" s="3">
        <v>45708</v>
      </c>
      <c r="F57" s="2" t="s">
        <v>4</v>
      </c>
      <c r="G57" s="2"/>
      <c r="H57" s="2" t="s">
        <v>48</v>
      </c>
      <c r="I57" s="2" t="s">
        <v>47</v>
      </c>
      <c r="J57" s="11">
        <f>(_xlfn.TEXTBEFORE(_xlfn.TEXTAFTER($I57,", ",,1),"-",,1,1,))*1</f>
        <v>129</v>
      </c>
      <c r="K57" s="11">
        <f>(_xlfn.TEXTBEFORE(_xlfn.TEXTAFTER($I57,"-",,1)," ",,1,1,))*1</f>
        <v>115</v>
      </c>
      <c r="L57" s="2" t="str">
        <f>LEFT('    #StatsTable'!$I57,1)</f>
        <v>W</v>
      </c>
      <c r="M57" s="2">
        <f>IF('    #StatsTable'!$L57="W", M56+1,M56)</f>
        <v>37</v>
      </c>
      <c r="N57" s="2">
        <f>IF('    #StatsTable'!$L57="L",N56+1,N56)</f>
        <v>19</v>
      </c>
      <c r="O57" s="2" t="s">
        <v>0</v>
      </c>
      <c r="P57" s="4">
        <v>1.5381944444444444</v>
      </c>
      <c r="Q57" s="28">
        <v>11</v>
      </c>
      <c r="R57" s="28">
        <v>22</v>
      </c>
      <c r="S57" s="15">
        <v>0.5</v>
      </c>
      <c r="T57" s="28">
        <v>6</v>
      </c>
      <c r="U57" s="28">
        <v>14</v>
      </c>
      <c r="V57" s="15">
        <v>0.42899999999999999</v>
      </c>
      <c r="W57" s="28">
        <v>5</v>
      </c>
      <c r="X57" s="28">
        <v>8</v>
      </c>
      <c r="Y57" s="15">
        <v>0.625</v>
      </c>
      <c r="Z57" s="15">
        <v>0.63600000000000001</v>
      </c>
      <c r="AA57" s="28">
        <v>1</v>
      </c>
      <c r="AB57" s="28">
        <v>2</v>
      </c>
      <c r="AC57" s="15">
        <v>0.5</v>
      </c>
      <c r="AD57" s="28">
        <v>4</v>
      </c>
      <c r="AE57" s="28">
        <v>13</v>
      </c>
      <c r="AF57" s="28">
        <v>17</v>
      </c>
      <c r="AG57" s="28">
        <v>9</v>
      </c>
      <c r="AH57" s="28">
        <v>1</v>
      </c>
      <c r="AI57" s="28">
        <v>1</v>
      </c>
      <c r="AJ57" s="28">
        <v>2</v>
      </c>
      <c r="AK57" s="28">
        <v>1</v>
      </c>
      <c r="AL57" s="28">
        <v>29</v>
      </c>
      <c r="AM57" s="2">
        <v>29.9</v>
      </c>
      <c r="AN57" s="2">
        <v>14</v>
      </c>
      <c r="AO57" s="16">
        <v>0.63400000000000001</v>
      </c>
      <c r="AP57" s="16">
        <v>0.63600000000000001</v>
      </c>
      <c r="AQ57" s="16">
        <v>0.111</v>
      </c>
      <c r="AR57" s="16">
        <v>0.31900000000000001</v>
      </c>
      <c r="AS57" s="16">
        <v>0.221</v>
      </c>
      <c r="AT57" s="16">
        <v>0.33700000000000002</v>
      </c>
      <c r="AU57" s="16">
        <v>1.3000000000000001E-2</v>
      </c>
      <c r="AV57" s="16">
        <v>2.1000000000000001E-2</v>
      </c>
      <c r="AW57" s="16">
        <v>0.08</v>
      </c>
      <c r="AX57" s="14">
        <v>0.27200000000000002</v>
      </c>
      <c r="AY57" s="19">
        <v>142</v>
      </c>
      <c r="AZ57" s="19">
        <v>106</v>
      </c>
      <c r="BA57" s="17">
        <v>29.9</v>
      </c>
      <c r="BB57" s="17">
        <v>15</v>
      </c>
    </row>
    <row r="58" spans="2:54" ht="16" x14ac:dyDescent="0.2">
      <c r="B58" s="1">
        <v>51</v>
      </c>
      <c r="C58" s="2">
        <v>726</v>
      </c>
      <c r="D58" s="2">
        <v>57</v>
      </c>
      <c r="E58" s="3">
        <v>45710</v>
      </c>
      <c r="F58" s="2" t="s">
        <v>4</v>
      </c>
      <c r="G58" s="2"/>
      <c r="H58" s="2" t="s">
        <v>28</v>
      </c>
      <c r="I58" s="2" t="s">
        <v>46</v>
      </c>
      <c r="J58" s="11">
        <f>(_xlfn.TEXTBEFORE(_xlfn.TEXTAFTER($I58,", ",,1),"-",,1,1,))*1</f>
        <v>100</v>
      </c>
      <c r="K58" s="11">
        <f>(_xlfn.TEXTBEFORE(_xlfn.TEXTAFTER($I58,"-",,1)," ",,1,1,))*1</f>
        <v>123</v>
      </c>
      <c r="L58" s="2" t="str">
        <f>LEFT('    #StatsTable'!$I58,1)</f>
        <v>L</v>
      </c>
      <c r="M58" s="2">
        <f>IF('    #StatsTable'!$L58="W", M57+1,M57)</f>
        <v>37</v>
      </c>
      <c r="N58" s="2">
        <f>IF('    #StatsTable'!$L58="L",N57+1,N57)</f>
        <v>20</v>
      </c>
      <c r="O58" s="2" t="s">
        <v>0</v>
      </c>
      <c r="P58" s="4">
        <v>1.4652777777777777</v>
      </c>
      <c r="Q58" s="28">
        <v>2</v>
      </c>
      <c r="R58" s="28">
        <v>7</v>
      </c>
      <c r="S58" s="15">
        <v>0.28599999999999998</v>
      </c>
      <c r="T58" s="28">
        <v>0</v>
      </c>
      <c r="U58" s="28">
        <v>1</v>
      </c>
      <c r="V58" s="15">
        <v>0</v>
      </c>
      <c r="W58" s="28">
        <v>2</v>
      </c>
      <c r="X58" s="28">
        <v>6</v>
      </c>
      <c r="Y58" s="15">
        <v>0.33300000000000002</v>
      </c>
      <c r="Z58" s="15">
        <v>0.28599999999999998</v>
      </c>
      <c r="AA58" s="28">
        <v>8</v>
      </c>
      <c r="AB58" s="28">
        <v>10</v>
      </c>
      <c r="AC58" s="15">
        <v>0.8</v>
      </c>
      <c r="AD58" s="28">
        <v>4</v>
      </c>
      <c r="AE58" s="28">
        <v>9</v>
      </c>
      <c r="AF58" s="28">
        <v>13</v>
      </c>
      <c r="AG58" s="28">
        <v>10</v>
      </c>
      <c r="AH58" s="28">
        <v>1</v>
      </c>
      <c r="AI58" s="28">
        <v>0</v>
      </c>
      <c r="AJ58" s="28">
        <v>6</v>
      </c>
      <c r="AK58" s="28">
        <v>3</v>
      </c>
      <c r="AL58" s="28">
        <v>12</v>
      </c>
      <c r="AM58" s="2">
        <v>13.4</v>
      </c>
      <c r="AN58" s="2">
        <v>-11</v>
      </c>
      <c r="AO58" s="16">
        <v>0.52600000000000002</v>
      </c>
      <c r="AP58" s="16">
        <v>0.28599999999999998</v>
      </c>
      <c r="AQ58" s="16">
        <v>0.13</v>
      </c>
      <c r="AR58" s="16">
        <v>0.29199999999999998</v>
      </c>
      <c r="AS58" s="16">
        <v>0.21100000000000002</v>
      </c>
      <c r="AT58" s="16">
        <v>0.436</v>
      </c>
      <c r="AU58" s="16">
        <v>1.3999999999999999E-2</v>
      </c>
      <c r="AV58" s="16">
        <v>0</v>
      </c>
      <c r="AW58" s="16">
        <v>0.34499999999999997</v>
      </c>
      <c r="AX58" s="14">
        <v>0.20399999999999999</v>
      </c>
      <c r="AY58" s="19">
        <v>104</v>
      </c>
      <c r="AZ58" s="19">
        <v>124</v>
      </c>
      <c r="BA58" s="17">
        <v>13.4</v>
      </c>
      <c r="BB58" s="17">
        <v>0.3</v>
      </c>
    </row>
    <row r="59" spans="2:54" ht="16" x14ac:dyDescent="0.2">
      <c r="B59" s="1">
        <v>52</v>
      </c>
      <c r="C59" s="2">
        <v>727</v>
      </c>
      <c r="D59" s="2">
        <v>58</v>
      </c>
      <c r="E59" s="3">
        <v>45712</v>
      </c>
      <c r="F59" s="2" t="s">
        <v>4</v>
      </c>
      <c r="G59" s="2" t="s">
        <v>3</v>
      </c>
      <c r="H59" s="2" t="s">
        <v>10</v>
      </c>
      <c r="I59" s="2" t="s">
        <v>45</v>
      </c>
      <c r="J59" s="11">
        <f>(_xlfn.TEXTBEFORE(_xlfn.TEXTAFTER($I59,", ",,1),"-",,1,1,))*1</f>
        <v>125</v>
      </c>
      <c r="K59" s="11">
        <f>(_xlfn.TEXTBEFORE(_xlfn.TEXTAFTER($I59,"-",,1)," ",,1,1,))*1</f>
        <v>116</v>
      </c>
      <c r="L59" s="2" t="str">
        <f>LEFT('    #StatsTable'!$I59,1)</f>
        <v>W</v>
      </c>
      <c r="M59" s="2">
        <f>IF('    #StatsTable'!$L59="W", M58+1,M58)</f>
        <v>38</v>
      </c>
      <c r="N59" s="2">
        <f>IF('    #StatsTable'!$L59="L",N58+1,N58)</f>
        <v>20</v>
      </c>
      <c r="O59" s="2" t="s">
        <v>0</v>
      </c>
      <c r="P59" s="4">
        <v>1.6055555555555556</v>
      </c>
      <c r="Q59" s="28">
        <v>9</v>
      </c>
      <c r="R59" s="28">
        <v>14</v>
      </c>
      <c r="S59" s="15">
        <v>0.64300000000000002</v>
      </c>
      <c r="T59" s="28">
        <v>0</v>
      </c>
      <c r="U59" s="28">
        <v>1</v>
      </c>
      <c r="V59" s="15">
        <v>0</v>
      </c>
      <c r="W59" s="28">
        <v>9</v>
      </c>
      <c r="X59" s="28">
        <v>13</v>
      </c>
      <c r="Y59" s="15">
        <v>0.69199999999999995</v>
      </c>
      <c r="Z59" s="15">
        <v>0.64300000000000002</v>
      </c>
      <c r="AA59" s="28">
        <v>0</v>
      </c>
      <c r="AB59" s="28">
        <v>0</v>
      </c>
      <c r="AC59" s="15" t="s">
        <v>208</v>
      </c>
      <c r="AD59" s="28">
        <v>0</v>
      </c>
      <c r="AE59" s="28">
        <v>9</v>
      </c>
      <c r="AF59" s="28">
        <v>9</v>
      </c>
      <c r="AG59" s="28">
        <v>19</v>
      </c>
      <c r="AH59" s="28">
        <v>3</v>
      </c>
      <c r="AI59" s="28">
        <v>1</v>
      </c>
      <c r="AJ59" s="28">
        <v>4</v>
      </c>
      <c r="AK59" s="28">
        <v>1</v>
      </c>
      <c r="AL59" s="28">
        <v>18</v>
      </c>
      <c r="AM59" s="2">
        <v>27.1</v>
      </c>
      <c r="AN59" s="2">
        <v>17</v>
      </c>
      <c r="AO59" s="16">
        <v>0.64300000000000002</v>
      </c>
      <c r="AP59" s="16">
        <v>0.64300000000000002</v>
      </c>
      <c r="AQ59" s="16">
        <v>0</v>
      </c>
      <c r="AR59" s="16">
        <v>0.28000000000000003</v>
      </c>
      <c r="AS59" s="16">
        <v>0.14400000000000002</v>
      </c>
      <c r="AT59" s="16">
        <v>0.56600000000000006</v>
      </c>
      <c r="AU59" s="16">
        <v>3.6000000000000004E-2</v>
      </c>
      <c r="AV59" s="16">
        <v>0.03</v>
      </c>
      <c r="AW59" s="16">
        <v>0.222</v>
      </c>
      <c r="AX59" s="14">
        <v>0.187</v>
      </c>
      <c r="AY59" s="19">
        <v>133</v>
      </c>
      <c r="AZ59" s="19">
        <v>104</v>
      </c>
      <c r="BA59" s="17">
        <v>27.1</v>
      </c>
      <c r="BB59" s="17">
        <v>17</v>
      </c>
    </row>
    <row r="60" spans="2:54" ht="16" x14ac:dyDescent="0.2">
      <c r="B60" s="1">
        <v>53</v>
      </c>
      <c r="C60" s="2">
        <v>728</v>
      </c>
      <c r="D60" s="2">
        <v>59</v>
      </c>
      <c r="E60" s="3">
        <v>45715</v>
      </c>
      <c r="F60" s="2" t="s">
        <v>4</v>
      </c>
      <c r="G60" s="2" t="s">
        <v>3</v>
      </c>
      <c r="H60" s="2" t="s">
        <v>21</v>
      </c>
      <c r="I60" s="2" t="s">
        <v>44</v>
      </c>
      <c r="J60" s="11">
        <f>(_xlfn.TEXTBEFORE(_xlfn.TEXTAFTER($I60,", ",,1),"-",,1,1,))*1</f>
        <v>112</v>
      </c>
      <c r="K60" s="11">
        <f>(_xlfn.TEXTBEFORE(_xlfn.TEXTAFTER($I60,"-",,1)," ",,1,1,))*1</f>
        <v>121</v>
      </c>
      <c r="L60" s="2" t="str">
        <f>LEFT('    #StatsTable'!$I60,1)</f>
        <v>L</v>
      </c>
      <c r="M60" s="2">
        <f>IF('    #StatsTable'!$L60="W", M59+1,M59)</f>
        <v>38</v>
      </c>
      <c r="N60" s="2">
        <f>IF('    #StatsTable'!$L60="L",N59+1,N59)</f>
        <v>21</v>
      </c>
      <c r="O60" s="2" t="s">
        <v>0</v>
      </c>
      <c r="P60" s="4">
        <v>1.5638888888888889</v>
      </c>
      <c r="Q60" s="28">
        <v>13</v>
      </c>
      <c r="R60" s="28">
        <v>16</v>
      </c>
      <c r="S60" s="15">
        <v>0.81299999999999994</v>
      </c>
      <c r="T60" s="28">
        <v>1</v>
      </c>
      <c r="U60" s="28">
        <v>2</v>
      </c>
      <c r="V60" s="15">
        <v>0.5</v>
      </c>
      <c r="W60" s="28">
        <v>12</v>
      </c>
      <c r="X60" s="28">
        <v>14</v>
      </c>
      <c r="Y60" s="15">
        <v>0.85699999999999998</v>
      </c>
      <c r="Z60" s="15">
        <v>0.84399999999999997</v>
      </c>
      <c r="AA60" s="28">
        <v>5</v>
      </c>
      <c r="AB60" s="28">
        <v>7</v>
      </c>
      <c r="AC60" s="15">
        <v>0.71399999999999997</v>
      </c>
      <c r="AD60" s="28">
        <v>1</v>
      </c>
      <c r="AE60" s="28">
        <v>13</v>
      </c>
      <c r="AF60" s="28">
        <v>14</v>
      </c>
      <c r="AG60" s="28">
        <v>10</v>
      </c>
      <c r="AH60" s="28">
        <v>1</v>
      </c>
      <c r="AI60" s="28">
        <v>0</v>
      </c>
      <c r="AJ60" s="28">
        <v>5</v>
      </c>
      <c r="AK60" s="28">
        <v>4</v>
      </c>
      <c r="AL60" s="28">
        <v>32</v>
      </c>
      <c r="AM60" s="2">
        <v>31.2</v>
      </c>
      <c r="AN60" s="2">
        <v>-5</v>
      </c>
      <c r="AO60" s="16">
        <v>0.83899999999999997</v>
      </c>
      <c r="AP60" s="16">
        <v>0.84399999999999997</v>
      </c>
      <c r="AQ60" s="16">
        <v>2.3E-2</v>
      </c>
      <c r="AR60" s="16">
        <v>0.34600000000000003</v>
      </c>
      <c r="AS60" s="16">
        <v>0.17399999999999999</v>
      </c>
      <c r="AT60" s="16">
        <v>0.42100000000000004</v>
      </c>
      <c r="AU60" s="16">
        <v>1.2E-2</v>
      </c>
      <c r="AV60" s="16">
        <v>0</v>
      </c>
      <c r="AW60" s="16">
        <v>0.20800000000000002</v>
      </c>
      <c r="AX60" s="14">
        <v>0.251</v>
      </c>
      <c r="AY60" s="19">
        <v>137</v>
      </c>
      <c r="AZ60" s="19">
        <v>113</v>
      </c>
      <c r="BA60" s="17">
        <v>31.2</v>
      </c>
      <c r="BB60" s="17">
        <v>15.3</v>
      </c>
    </row>
    <row r="61" spans="2:54" ht="16" x14ac:dyDescent="0.2">
      <c r="B61" s="1">
        <v>54</v>
      </c>
      <c r="C61" s="2">
        <v>729</v>
      </c>
      <c r="D61" s="2">
        <v>60</v>
      </c>
      <c r="E61" s="3">
        <v>45716</v>
      </c>
      <c r="F61" s="2" t="s">
        <v>4</v>
      </c>
      <c r="G61" s="2" t="s">
        <v>3</v>
      </c>
      <c r="H61" s="2" t="s">
        <v>43</v>
      </c>
      <c r="I61" s="2" t="s">
        <v>42</v>
      </c>
      <c r="J61" s="11">
        <f>(_xlfn.TEXTBEFORE(_xlfn.TEXTAFTER($I61,", ",,1),"-",,1,1,))*1</f>
        <v>134</v>
      </c>
      <c r="K61" s="11">
        <f>(_xlfn.TEXTBEFORE(_xlfn.TEXTAFTER($I61,"-",,1)," ",,1,1,))*1</f>
        <v>119</v>
      </c>
      <c r="L61" s="2" t="str">
        <f>LEFT('    #StatsTable'!$I61,1)</f>
        <v>W</v>
      </c>
      <c r="M61" s="2">
        <f>IF('    #StatsTable'!$L61="W", M60+1,M60)</f>
        <v>39</v>
      </c>
      <c r="N61" s="2">
        <f>IF('    #StatsTable'!$L61="L",N60+1,N60)</f>
        <v>21</v>
      </c>
      <c r="O61" s="2" t="s">
        <v>0</v>
      </c>
      <c r="P61" s="4">
        <v>1.4236111111111112</v>
      </c>
      <c r="Q61" s="28">
        <v>6</v>
      </c>
      <c r="R61" s="28">
        <v>12</v>
      </c>
      <c r="S61" s="15">
        <v>0.5</v>
      </c>
      <c r="T61" s="28">
        <v>0</v>
      </c>
      <c r="U61" s="28">
        <v>3</v>
      </c>
      <c r="V61" s="15">
        <v>0</v>
      </c>
      <c r="W61" s="28">
        <v>6</v>
      </c>
      <c r="X61" s="28">
        <v>9</v>
      </c>
      <c r="Y61" s="15">
        <v>0.66700000000000004</v>
      </c>
      <c r="Z61" s="15">
        <v>0.5</v>
      </c>
      <c r="AA61" s="28">
        <v>11</v>
      </c>
      <c r="AB61" s="28">
        <v>12</v>
      </c>
      <c r="AC61" s="15">
        <v>0.91700000000000004</v>
      </c>
      <c r="AD61" s="28">
        <v>0</v>
      </c>
      <c r="AE61" s="28">
        <v>17</v>
      </c>
      <c r="AF61" s="28">
        <v>17</v>
      </c>
      <c r="AG61" s="28">
        <v>15</v>
      </c>
      <c r="AH61" s="28">
        <v>1</v>
      </c>
      <c r="AI61" s="28">
        <v>2</v>
      </c>
      <c r="AJ61" s="28">
        <v>7</v>
      </c>
      <c r="AK61" s="28">
        <v>2</v>
      </c>
      <c r="AL61" s="28">
        <v>23</v>
      </c>
      <c r="AM61" s="2">
        <v>26.8</v>
      </c>
      <c r="AN61" s="2">
        <v>33</v>
      </c>
      <c r="AO61" s="16">
        <v>0.66600000000000004</v>
      </c>
      <c r="AP61" s="16">
        <v>0.5</v>
      </c>
      <c r="AQ61" s="16">
        <v>0</v>
      </c>
      <c r="AR61" s="16">
        <v>0.442</v>
      </c>
      <c r="AS61" s="16">
        <v>0.26</v>
      </c>
      <c r="AT61" s="16">
        <v>0.54600000000000004</v>
      </c>
      <c r="AU61" s="16">
        <v>1.3000000000000001E-2</v>
      </c>
      <c r="AV61" s="16">
        <v>4.4999999999999998E-2</v>
      </c>
      <c r="AW61" s="16">
        <v>0.28800000000000003</v>
      </c>
      <c r="AX61" s="14">
        <v>0.28999999999999998</v>
      </c>
      <c r="AY61" s="19">
        <v>125</v>
      </c>
      <c r="AZ61" s="19">
        <v>101</v>
      </c>
      <c r="BA61" s="17">
        <v>26.8</v>
      </c>
      <c r="BB61" s="17">
        <v>11.2</v>
      </c>
    </row>
    <row r="62" spans="2:54" ht="16" x14ac:dyDescent="0.2">
      <c r="B62" s="1">
        <v>55</v>
      </c>
      <c r="C62" s="2">
        <v>730</v>
      </c>
      <c r="D62" s="2">
        <v>61</v>
      </c>
      <c r="E62" s="3">
        <v>45718</v>
      </c>
      <c r="F62" s="2" t="s">
        <v>4</v>
      </c>
      <c r="G62" s="2" t="s">
        <v>3</v>
      </c>
      <c r="H62" s="2" t="s">
        <v>41</v>
      </c>
      <c r="I62" s="2" t="s">
        <v>40</v>
      </c>
      <c r="J62" s="11">
        <f>(_xlfn.TEXTBEFORE(_xlfn.TEXTAFTER($I62,", ",,1),"-",,1,1,))*1</f>
        <v>103</v>
      </c>
      <c r="K62" s="11">
        <f>(_xlfn.TEXTBEFORE(_xlfn.TEXTAFTER($I62,"-",,1)," ",,1,1,))*1</f>
        <v>110</v>
      </c>
      <c r="L62" s="2" t="str">
        <f>LEFT('    #StatsTable'!$I62,1)</f>
        <v>L</v>
      </c>
      <c r="M62" s="2">
        <f>IF('    #StatsTable'!$L62="W", M61+1,M61)</f>
        <v>39</v>
      </c>
      <c r="N62" s="2">
        <f>IF('    #StatsTable'!$L62="L",N61+1,N61)</f>
        <v>22</v>
      </c>
      <c r="O62" s="2" t="s">
        <v>0</v>
      </c>
      <c r="P62" s="4">
        <v>1.6409722222222223</v>
      </c>
      <c r="Q62" s="28">
        <v>9</v>
      </c>
      <c r="R62" s="28">
        <v>15</v>
      </c>
      <c r="S62" s="15">
        <v>0.6</v>
      </c>
      <c r="T62" s="28">
        <v>2</v>
      </c>
      <c r="U62" s="28">
        <v>3</v>
      </c>
      <c r="V62" s="15">
        <v>0.66700000000000004</v>
      </c>
      <c r="W62" s="28">
        <v>7</v>
      </c>
      <c r="X62" s="28">
        <v>12</v>
      </c>
      <c r="Y62" s="15">
        <v>0.58299999999999996</v>
      </c>
      <c r="Z62" s="15">
        <v>0.66700000000000004</v>
      </c>
      <c r="AA62" s="28">
        <v>0</v>
      </c>
      <c r="AB62" s="28">
        <v>0</v>
      </c>
      <c r="AC62" s="15" t="s">
        <v>208</v>
      </c>
      <c r="AD62" s="28">
        <v>3</v>
      </c>
      <c r="AE62" s="28">
        <v>11</v>
      </c>
      <c r="AF62" s="28">
        <v>14</v>
      </c>
      <c r="AG62" s="28">
        <v>9</v>
      </c>
      <c r="AH62" s="28">
        <v>2</v>
      </c>
      <c r="AI62" s="28">
        <v>0</v>
      </c>
      <c r="AJ62" s="28">
        <v>2</v>
      </c>
      <c r="AK62" s="28">
        <v>2</v>
      </c>
      <c r="AL62" s="28">
        <v>20</v>
      </c>
      <c r="AM62" s="2">
        <v>24</v>
      </c>
      <c r="AN62" s="2">
        <v>0</v>
      </c>
      <c r="AO62" s="16">
        <v>0.66700000000000004</v>
      </c>
      <c r="AP62" s="16">
        <v>0.66700000000000004</v>
      </c>
      <c r="AQ62" s="16">
        <v>8.5000000000000006E-2</v>
      </c>
      <c r="AR62" s="16">
        <v>0.33500000000000002</v>
      </c>
      <c r="AS62" s="16">
        <v>0.20600000000000002</v>
      </c>
      <c r="AT62" s="16">
        <v>0.36499999999999999</v>
      </c>
      <c r="AU62" s="16">
        <v>2.6000000000000002E-2</v>
      </c>
      <c r="AV62" s="16">
        <v>0</v>
      </c>
      <c r="AW62" s="16">
        <v>0.11800000000000001</v>
      </c>
      <c r="AX62" s="14">
        <v>0.2</v>
      </c>
      <c r="AY62" s="19">
        <v>135</v>
      </c>
      <c r="AZ62" s="19">
        <v>114</v>
      </c>
      <c r="BA62" s="17">
        <v>24</v>
      </c>
      <c r="BB62" s="17">
        <v>11.6</v>
      </c>
    </row>
    <row r="63" spans="2:54" ht="16" x14ac:dyDescent="0.2">
      <c r="B63" s="1">
        <v>56</v>
      </c>
      <c r="C63" s="2">
        <v>731</v>
      </c>
      <c r="D63" s="2">
        <v>62</v>
      </c>
      <c r="E63" s="3">
        <v>45721</v>
      </c>
      <c r="F63" s="2" t="s">
        <v>4</v>
      </c>
      <c r="G63" s="2"/>
      <c r="H63" s="2" t="s">
        <v>8</v>
      </c>
      <c r="I63" s="2" t="s">
        <v>39</v>
      </c>
      <c r="J63" s="11">
        <f>(_xlfn.TEXTBEFORE(_xlfn.TEXTAFTER($I63,", ",,1),"-",,1,1,))*1</f>
        <v>116</v>
      </c>
      <c r="K63" s="11">
        <f>(_xlfn.TEXTBEFORE(_xlfn.TEXTAFTER($I63,"-",,1)," ",,1,1,))*1</f>
        <v>110</v>
      </c>
      <c r="L63" s="2" t="str">
        <f>LEFT('    #StatsTable'!$I63,1)</f>
        <v>W</v>
      </c>
      <c r="M63" s="2">
        <f>IF('    #StatsTable'!$L63="W", M62+1,M62)</f>
        <v>40</v>
      </c>
      <c r="N63" s="2">
        <f>IF('    #StatsTable'!$L63="L",N62+1,N62)</f>
        <v>22</v>
      </c>
      <c r="O63" s="2" t="s">
        <v>0</v>
      </c>
      <c r="P63" s="4">
        <v>1.5888888888888888</v>
      </c>
      <c r="Q63" s="28">
        <v>9</v>
      </c>
      <c r="R63" s="28">
        <v>18</v>
      </c>
      <c r="S63" s="15">
        <v>0.5</v>
      </c>
      <c r="T63" s="28">
        <v>0</v>
      </c>
      <c r="U63" s="28">
        <v>2</v>
      </c>
      <c r="V63" s="15">
        <v>0</v>
      </c>
      <c r="W63" s="28">
        <v>9</v>
      </c>
      <c r="X63" s="28">
        <v>16</v>
      </c>
      <c r="Y63" s="15">
        <v>0.56299999999999994</v>
      </c>
      <c r="Z63" s="15">
        <v>0.5</v>
      </c>
      <c r="AA63" s="28">
        <v>4</v>
      </c>
      <c r="AB63" s="28">
        <v>6</v>
      </c>
      <c r="AC63" s="15">
        <v>0.66700000000000004</v>
      </c>
      <c r="AD63" s="28">
        <v>5</v>
      </c>
      <c r="AE63" s="28">
        <v>10</v>
      </c>
      <c r="AF63" s="28">
        <v>15</v>
      </c>
      <c r="AG63" s="28">
        <v>6</v>
      </c>
      <c r="AH63" s="28">
        <v>1</v>
      </c>
      <c r="AI63" s="28">
        <v>0</v>
      </c>
      <c r="AJ63" s="28">
        <v>7</v>
      </c>
      <c r="AK63" s="28">
        <v>3</v>
      </c>
      <c r="AL63" s="28">
        <v>22</v>
      </c>
      <c r="AM63" s="2">
        <v>15.7</v>
      </c>
      <c r="AN63" s="2">
        <v>-7</v>
      </c>
      <c r="AO63" s="16">
        <v>0.53300000000000003</v>
      </c>
      <c r="AP63" s="16">
        <v>0.5</v>
      </c>
      <c r="AQ63" s="16">
        <v>0.15</v>
      </c>
      <c r="AR63" s="16">
        <v>0.25700000000000001</v>
      </c>
      <c r="AS63" s="16">
        <v>0.20699999999999999</v>
      </c>
      <c r="AT63" s="16">
        <v>0.26300000000000001</v>
      </c>
      <c r="AU63" s="16">
        <v>1.3000000000000001E-2</v>
      </c>
      <c r="AV63" s="16">
        <v>0</v>
      </c>
      <c r="AW63" s="16">
        <v>0.253</v>
      </c>
      <c r="AX63" s="14">
        <v>0.307</v>
      </c>
      <c r="AY63" s="19">
        <v>97</v>
      </c>
      <c r="AZ63" s="19">
        <v>109</v>
      </c>
      <c r="BA63" s="17">
        <v>15.7</v>
      </c>
      <c r="BB63" s="17">
        <v>-3.6</v>
      </c>
    </row>
    <row r="64" spans="2:54" ht="16" x14ac:dyDescent="0.2">
      <c r="B64" s="1">
        <v>57</v>
      </c>
      <c r="C64" s="2">
        <v>732</v>
      </c>
      <c r="D64" s="2">
        <v>63</v>
      </c>
      <c r="E64" s="3">
        <v>45723</v>
      </c>
      <c r="F64" s="2" t="s">
        <v>4</v>
      </c>
      <c r="G64" s="2"/>
      <c r="H64" s="2" t="s">
        <v>38</v>
      </c>
      <c r="I64" s="2" t="s">
        <v>37</v>
      </c>
      <c r="J64" s="11">
        <f>(_xlfn.TEXTBEFORE(_xlfn.TEXTAFTER($I64,", ",,1),"-",,1,1,))*1</f>
        <v>149</v>
      </c>
      <c r="K64" s="11">
        <f>(_xlfn.TEXTBEFORE(_xlfn.TEXTAFTER($I64,"-",,1)," ",,1,1,))*1</f>
        <v>141</v>
      </c>
      <c r="L64" s="2" t="str">
        <f>LEFT('    #StatsTable'!$I64,1)</f>
        <v>W</v>
      </c>
      <c r="M64" s="2">
        <f>IF('    #StatsTable'!$L64="W", M63+1,M63)</f>
        <v>41</v>
      </c>
      <c r="N64" s="2">
        <f>IF('    #StatsTable'!$L64="L",N63+1,N63)</f>
        <v>22</v>
      </c>
      <c r="O64" s="2" t="s">
        <v>0</v>
      </c>
      <c r="P64" s="4">
        <v>1.8715277777777777</v>
      </c>
      <c r="Q64" s="28">
        <v>13</v>
      </c>
      <c r="R64" s="28">
        <v>22</v>
      </c>
      <c r="S64" s="15">
        <v>0.59099999999999997</v>
      </c>
      <c r="T64" s="28">
        <v>3</v>
      </c>
      <c r="U64" s="28">
        <v>7</v>
      </c>
      <c r="V64" s="15">
        <v>0.42899999999999999</v>
      </c>
      <c r="W64" s="28">
        <v>10</v>
      </c>
      <c r="X64" s="28">
        <v>15</v>
      </c>
      <c r="Y64" s="15">
        <v>0.66700000000000004</v>
      </c>
      <c r="Z64" s="15">
        <v>0.65900000000000003</v>
      </c>
      <c r="AA64" s="28">
        <v>2</v>
      </c>
      <c r="AB64" s="28">
        <v>3</v>
      </c>
      <c r="AC64" s="15">
        <v>0.66700000000000004</v>
      </c>
      <c r="AD64" s="28">
        <v>4</v>
      </c>
      <c r="AE64" s="28">
        <v>17</v>
      </c>
      <c r="AF64" s="28">
        <v>21</v>
      </c>
      <c r="AG64" s="28">
        <v>22</v>
      </c>
      <c r="AH64" s="28">
        <v>3</v>
      </c>
      <c r="AI64" s="28">
        <v>0</v>
      </c>
      <c r="AJ64" s="28">
        <v>4</v>
      </c>
      <c r="AK64" s="28">
        <v>3</v>
      </c>
      <c r="AL64" s="28">
        <v>31</v>
      </c>
      <c r="AM64" s="2">
        <v>41.5</v>
      </c>
      <c r="AN64" s="2">
        <v>8</v>
      </c>
      <c r="AO64" s="16">
        <v>0.66500000000000004</v>
      </c>
      <c r="AP64" s="16">
        <v>0.65900000000000003</v>
      </c>
      <c r="AQ64" s="16">
        <v>0.11800000000000001</v>
      </c>
      <c r="AR64" s="16">
        <v>0.54200000000000004</v>
      </c>
      <c r="AS64" s="16">
        <v>0.32200000000000001</v>
      </c>
      <c r="AT64" s="16">
        <v>0.623</v>
      </c>
      <c r="AU64" s="16">
        <v>3.3000000000000002E-2</v>
      </c>
      <c r="AV64" s="16">
        <v>0</v>
      </c>
      <c r="AW64" s="16">
        <v>0.14599999999999999</v>
      </c>
      <c r="AX64" s="14">
        <v>0.28300000000000003</v>
      </c>
      <c r="AY64" s="19">
        <v>148</v>
      </c>
      <c r="AZ64" s="19">
        <v>125</v>
      </c>
      <c r="BA64" s="17">
        <v>41.5</v>
      </c>
      <c r="BB64" s="17">
        <v>17.2</v>
      </c>
    </row>
    <row r="65" spans="2:54" ht="16" x14ac:dyDescent="0.2">
      <c r="B65" s="1">
        <v>58</v>
      </c>
      <c r="C65" s="2">
        <v>733</v>
      </c>
      <c r="D65" s="2">
        <v>64</v>
      </c>
      <c r="E65" s="3">
        <v>45725</v>
      </c>
      <c r="F65" s="2" t="s">
        <v>4</v>
      </c>
      <c r="G65" s="2" t="s">
        <v>3</v>
      </c>
      <c r="H65" s="2" t="s">
        <v>35</v>
      </c>
      <c r="I65" s="2" t="s">
        <v>36</v>
      </c>
      <c r="J65" s="11">
        <f>(_xlfn.TEXTBEFORE(_xlfn.TEXTAFTER($I65,", ",,1),"-",,1,1,))*1</f>
        <v>103</v>
      </c>
      <c r="K65" s="11">
        <f>(_xlfn.TEXTBEFORE(_xlfn.TEXTAFTER($I65,"-",,1)," ",,1,1,))*1</f>
        <v>127</v>
      </c>
      <c r="L65" s="2" t="str">
        <f>LEFT('    #StatsTable'!$I65,1)</f>
        <v>L</v>
      </c>
      <c r="M65" s="2">
        <f>IF('    #StatsTable'!$L65="W", M64+1,M64)</f>
        <v>41</v>
      </c>
      <c r="N65" s="2">
        <f>IF('    #StatsTable'!$L65="L",N64+1,N64)</f>
        <v>23</v>
      </c>
      <c r="O65" s="2" t="s">
        <v>0</v>
      </c>
      <c r="P65" s="4">
        <v>1.7180555555555554</v>
      </c>
      <c r="Q65" s="28">
        <v>10</v>
      </c>
      <c r="R65" s="28">
        <v>23</v>
      </c>
      <c r="S65" s="15">
        <v>0.435</v>
      </c>
      <c r="T65" s="28">
        <v>2</v>
      </c>
      <c r="U65" s="28">
        <v>10</v>
      </c>
      <c r="V65" s="15">
        <v>0.2</v>
      </c>
      <c r="W65" s="28">
        <v>8</v>
      </c>
      <c r="X65" s="28">
        <v>13</v>
      </c>
      <c r="Y65" s="15">
        <v>0.61499999999999999</v>
      </c>
      <c r="Z65" s="15">
        <v>0.47799999999999998</v>
      </c>
      <c r="AA65" s="28">
        <v>2</v>
      </c>
      <c r="AB65" s="28">
        <v>6</v>
      </c>
      <c r="AC65" s="15">
        <v>0.33300000000000002</v>
      </c>
      <c r="AD65" s="28">
        <v>2</v>
      </c>
      <c r="AE65" s="28">
        <v>11</v>
      </c>
      <c r="AF65" s="28">
        <v>13</v>
      </c>
      <c r="AG65" s="28">
        <v>9</v>
      </c>
      <c r="AH65" s="28">
        <v>1</v>
      </c>
      <c r="AI65" s="28">
        <v>3</v>
      </c>
      <c r="AJ65" s="28">
        <v>2</v>
      </c>
      <c r="AK65" s="28">
        <v>3</v>
      </c>
      <c r="AL65" s="28">
        <v>24</v>
      </c>
      <c r="AM65" s="2">
        <v>21.2</v>
      </c>
      <c r="AN65" s="2">
        <v>-13</v>
      </c>
      <c r="AO65" s="16">
        <v>0.46800000000000003</v>
      </c>
      <c r="AP65" s="16">
        <v>0.47799999999999998</v>
      </c>
      <c r="AQ65" s="16">
        <v>3.9E-2</v>
      </c>
      <c r="AR65" s="16">
        <v>0.29100000000000004</v>
      </c>
      <c r="AS65" s="16">
        <v>0.14599999999999999</v>
      </c>
      <c r="AT65" s="16">
        <v>0.36899999999999999</v>
      </c>
      <c r="AU65" s="16">
        <v>1.2E-2</v>
      </c>
      <c r="AV65" s="16">
        <v>6.2E-2</v>
      </c>
      <c r="AW65" s="16">
        <v>7.2000000000000008E-2</v>
      </c>
      <c r="AX65" s="14">
        <v>0.28300000000000003</v>
      </c>
      <c r="AY65" s="19">
        <v>104</v>
      </c>
      <c r="AZ65" s="19">
        <v>122</v>
      </c>
      <c r="BA65" s="17">
        <v>21.2</v>
      </c>
      <c r="BB65" s="17">
        <v>9.1999999999999993</v>
      </c>
    </row>
    <row r="66" spans="2:54" ht="16" x14ac:dyDescent="0.2">
      <c r="B66" s="1">
        <v>59</v>
      </c>
      <c r="C66" s="2">
        <v>734</v>
      </c>
      <c r="D66" s="2">
        <v>65</v>
      </c>
      <c r="E66" s="3">
        <v>45726</v>
      </c>
      <c r="F66" s="2" t="s">
        <v>4</v>
      </c>
      <c r="G66" s="2" t="s">
        <v>3</v>
      </c>
      <c r="H66" s="2" t="s">
        <v>35</v>
      </c>
      <c r="I66" s="2" t="s">
        <v>34</v>
      </c>
      <c r="J66" s="11">
        <f>(_xlfn.TEXTBEFORE(_xlfn.TEXTAFTER($I66,", ",,1),"-",,1,1,))*1</f>
        <v>140</v>
      </c>
      <c r="K66" s="11">
        <f>(_xlfn.TEXTBEFORE(_xlfn.TEXTAFTER($I66,"-",,1)," ",,1,1,))*1</f>
        <v>127</v>
      </c>
      <c r="L66" s="2" t="str">
        <f>LEFT('    #StatsTable'!$I66,1)</f>
        <v>W</v>
      </c>
      <c r="M66" s="2">
        <f>IF('    #StatsTable'!$L66="W", M65+1,M65)</f>
        <v>42</v>
      </c>
      <c r="N66" s="2">
        <f>IF('    #StatsTable'!$L66="L",N65+1,N65)</f>
        <v>23</v>
      </c>
      <c r="O66" s="2" t="s">
        <v>0</v>
      </c>
      <c r="P66" s="4">
        <v>1.65</v>
      </c>
      <c r="Q66" s="28">
        <v>15</v>
      </c>
      <c r="R66" s="28">
        <v>20</v>
      </c>
      <c r="S66" s="15">
        <v>0.75</v>
      </c>
      <c r="T66" s="28">
        <v>1</v>
      </c>
      <c r="U66" s="28">
        <v>2</v>
      </c>
      <c r="V66" s="15">
        <v>0.5</v>
      </c>
      <c r="W66" s="28">
        <v>14</v>
      </c>
      <c r="X66" s="28">
        <v>18</v>
      </c>
      <c r="Y66" s="15">
        <v>0.77800000000000002</v>
      </c>
      <c r="Z66" s="15">
        <v>0.77500000000000002</v>
      </c>
      <c r="AA66" s="28">
        <v>4</v>
      </c>
      <c r="AB66" s="28">
        <v>5</v>
      </c>
      <c r="AC66" s="15">
        <v>0.8</v>
      </c>
      <c r="AD66" s="28">
        <v>2</v>
      </c>
      <c r="AE66" s="28">
        <v>16</v>
      </c>
      <c r="AF66" s="28">
        <v>18</v>
      </c>
      <c r="AG66" s="28">
        <v>8</v>
      </c>
      <c r="AH66" s="28">
        <v>1</v>
      </c>
      <c r="AI66" s="28">
        <v>1</v>
      </c>
      <c r="AJ66" s="28">
        <v>1</v>
      </c>
      <c r="AK66" s="28">
        <v>4</v>
      </c>
      <c r="AL66" s="28">
        <v>35</v>
      </c>
      <c r="AM66" s="2">
        <v>37.5</v>
      </c>
      <c r="AN66" s="2">
        <v>8</v>
      </c>
      <c r="AO66" s="16">
        <v>0.78800000000000003</v>
      </c>
      <c r="AP66" s="16">
        <v>0.77500000000000002</v>
      </c>
      <c r="AQ66" s="16">
        <v>7.2999999999999995E-2</v>
      </c>
      <c r="AR66" s="16">
        <v>0.41299999999999998</v>
      </c>
      <c r="AS66" s="16">
        <v>0.27300000000000002</v>
      </c>
      <c r="AT66" s="16">
        <v>0.28699999999999998</v>
      </c>
      <c r="AU66" s="16">
        <v>1.2E-2</v>
      </c>
      <c r="AV66" s="16">
        <v>2.3E-2</v>
      </c>
      <c r="AW66" s="16">
        <v>4.2999999999999997E-2</v>
      </c>
      <c r="AX66" s="14">
        <v>0.26300000000000001</v>
      </c>
      <c r="AY66" s="19">
        <v>167</v>
      </c>
      <c r="AZ66" s="19">
        <v>119</v>
      </c>
      <c r="BA66" s="17">
        <v>37.5</v>
      </c>
      <c r="BB66" s="17">
        <v>13.3</v>
      </c>
    </row>
    <row r="67" spans="2:54" ht="16" x14ac:dyDescent="0.2">
      <c r="B67" s="1">
        <v>60</v>
      </c>
      <c r="C67" s="2">
        <v>735</v>
      </c>
      <c r="D67" s="2">
        <v>66</v>
      </c>
      <c r="E67" s="3">
        <v>45728</v>
      </c>
      <c r="F67" s="2" t="s">
        <v>4</v>
      </c>
      <c r="G67" s="2"/>
      <c r="H67" s="2" t="s">
        <v>17</v>
      </c>
      <c r="I67" s="2" t="s">
        <v>33</v>
      </c>
      <c r="J67" s="11">
        <f>(_xlfn.TEXTBEFORE(_xlfn.TEXTAFTER($I67,", ",,1),"-",,1,1,))*1</f>
        <v>95</v>
      </c>
      <c r="K67" s="11">
        <f>(_xlfn.TEXTBEFORE(_xlfn.TEXTAFTER($I67,"-",,1)," ",,1,1,))*1</f>
        <v>115</v>
      </c>
      <c r="L67" s="2" t="str">
        <f>LEFT('    #StatsTable'!$I67,1)</f>
        <v>L</v>
      </c>
      <c r="M67" s="2">
        <f>IF('    #StatsTable'!$L67="W", M66+1,M66)</f>
        <v>42</v>
      </c>
      <c r="N67" s="2">
        <f>IF('    #StatsTable'!$L67="L",N66+1,N66)</f>
        <v>24</v>
      </c>
      <c r="O67" s="2" t="s">
        <v>0</v>
      </c>
      <c r="P67" s="4">
        <v>1.5944444444444446</v>
      </c>
      <c r="Q67" s="28">
        <v>13</v>
      </c>
      <c r="R67" s="28">
        <v>23</v>
      </c>
      <c r="S67" s="15">
        <v>0.56499999999999995</v>
      </c>
      <c r="T67" s="28">
        <v>2</v>
      </c>
      <c r="U67" s="28">
        <v>6</v>
      </c>
      <c r="V67" s="15">
        <v>0.33300000000000002</v>
      </c>
      <c r="W67" s="28">
        <v>11</v>
      </c>
      <c r="X67" s="28">
        <v>17</v>
      </c>
      <c r="Y67" s="15">
        <v>0.64700000000000002</v>
      </c>
      <c r="Z67" s="15">
        <v>0.60899999999999999</v>
      </c>
      <c r="AA67" s="28">
        <v>6</v>
      </c>
      <c r="AB67" s="28">
        <v>8</v>
      </c>
      <c r="AC67" s="15">
        <v>0.75</v>
      </c>
      <c r="AD67" s="28">
        <v>3</v>
      </c>
      <c r="AE67" s="28">
        <v>5</v>
      </c>
      <c r="AF67" s="28">
        <v>8</v>
      </c>
      <c r="AG67" s="28">
        <v>4</v>
      </c>
      <c r="AH67" s="28">
        <v>1</v>
      </c>
      <c r="AI67" s="28">
        <v>0</v>
      </c>
      <c r="AJ67" s="28">
        <v>3</v>
      </c>
      <c r="AK67" s="28">
        <v>3</v>
      </c>
      <c r="AL67" s="28">
        <v>34</v>
      </c>
      <c r="AM67" s="2">
        <v>25.5</v>
      </c>
      <c r="AN67" s="2">
        <v>-24</v>
      </c>
      <c r="AO67" s="16">
        <v>0.64100000000000001</v>
      </c>
      <c r="AP67" s="16">
        <v>0.60899999999999999</v>
      </c>
      <c r="AQ67" s="16">
        <v>7.8E-2</v>
      </c>
      <c r="AR67" s="16">
        <v>0.14899999999999999</v>
      </c>
      <c r="AS67" s="16">
        <v>0.111</v>
      </c>
      <c r="AT67" s="16">
        <v>0.255</v>
      </c>
      <c r="AU67" s="16">
        <v>1.3000000000000001E-2</v>
      </c>
      <c r="AV67" s="16">
        <v>0</v>
      </c>
      <c r="AW67" s="16">
        <v>0.10199999999999999</v>
      </c>
      <c r="AX67" s="14">
        <v>0.34100000000000003</v>
      </c>
      <c r="AY67" s="19">
        <v>123</v>
      </c>
      <c r="AZ67" s="19">
        <v>123</v>
      </c>
      <c r="BA67" s="17">
        <v>25.5</v>
      </c>
      <c r="BB67" s="17">
        <v>10.7</v>
      </c>
    </row>
    <row r="68" spans="2:54" ht="16" x14ac:dyDescent="0.2">
      <c r="B68" s="1">
        <v>61</v>
      </c>
      <c r="C68" s="2">
        <v>736</v>
      </c>
      <c r="D68" s="2">
        <v>67</v>
      </c>
      <c r="E68" s="3">
        <v>45730</v>
      </c>
      <c r="F68" s="2" t="s">
        <v>4</v>
      </c>
      <c r="G68" s="2"/>
      <c r="H68" s="2" t="s">
        <v>28</v>
      </c>
      <c r="I68" s="2" t="s">
        <v>32</v>
      </c>
      <c r="J68" s="11">
        <f>(_xlfn.TEXTBEFORE(_xlfn.TEXTAFTER($I68,", ",,1),"-",,1,1,))*1</f>
        <v>131</v>
      </c>
      <c r="K68" s="11">
        <f>(_xlfn.TEXTBEFORE(_xlfn.TEXTAFTER($I68,"-",,1)," ",,1,1,))*1</f>
        <v>126</v>
      </c>
      <c r="L68" s="2" t="str">
        <f>LEFT('    #StatsTable'!$I68,1)</f>
        <v>W</v>
      </c>
      <c r="M68" s="2">
        <f>IF('    #StatsTable'!$L68="W", M67+1,M67)</f>
        <v>43</v>
      </c>
      <c r="N68" s="2">
        <f>IF('    #StatsTable'!$L68="L",N67+1,N67)</f>
        <v>24</v>
      </c>
      <c r="O68" s="2" t="s">
        <v>0</v>
      </c>
      <c r="P68" s="4">
        <v>1.5743055555555556</v>
      </c>
      <c r="Q68" s="28">
        <v>8</v>
      </c>
      <c r="R68" s="28">
        <v>16</v>
      </c>
      <c r="S68" s="15">
        <v>0.5</v>
      </c>
      <c r="T68" s="28">
        <v>0</v>
      </c>
      <c r="U68" s="28">
        <v>4</v>
      </c>
      <c r="V68" s="15">
        <v>0</v>
      </c>
      <c r="W68" s="28">
        <v>8</v>
      </c>
      <c r="X68" s="28">
        <v>12</v>
      </c>
      <c r="Y68" s="15">
        <v>0.66700000000000004</v>
      </c>
      <c r="Z68" s="15">
        <v>0.5</v>
      </c>
      <c r="AA68" s="28">
        <v>12</v>
      </c>
      <c r="AB68" s="28">
        <v>17</v>
      </c>
      <c r="AC68" s="15">
        <v>0.70599999999999996</v>
      </c>
      <c r="AD68" s="28">
        <v>1</v>
      </c>
      <c r="AE68" s="28">
        <v>6</v>
      </c>
      <c r="AF68" s="28">
        <v>7</v>
      </c>
      <c r="AG68" s="28">
        <v>5</v>
      </c>
      <c r="AH68" s="28">
        <v>3</v>
      </c>
      <c r="AI68" s="28">
        <v>1</v>
      </c>
      <c r="AJ68" s="28">
        <v>4</v>
      </c>
      <c r="AK68" s="28">
        <v>5</v>
      </c>
      <c r="AL68" s="28">
        <v>28</v>
      </c>
      <c r="AM68" s="2">
        <v>21.7</v>
      </c>
      <c r="AN68" s="2">
        <v>2</v>
      </c>
      <c r="AO68" s="16">
        <v>0.59599999999999997</v>
      </c>
      <c r="AP68" s="16">
        <v>0.5</v>
      </c>
      <c r="AQ68" s="16">
        <v>3.4000000000000002E-2</v>
      </c>
      <c r="AR68" s="16">
        <v>0.156</v>
      </c>
      <c r="AS68" s="16">
        <v>0.10300000000000001</v>
      </c>
      <c r="AT68" s="16">
        <v>0.188</v>
      </c>
      <c r="AU68" s="16">
        <v>3.7999999999999999E-2</v>
      </c>
      <c r="AV68" s="16">
        <v>0.02</v>
      </c>
      <c r="AW68" s="16">
        <v>0.14599999999999999</v>
      </c>
      <c r="AX68" s="14">
        <v>0.307</v>
      </c>
      <c r="AY68" s="19">
        <v>115</v>
      </c>
      <c r="AZ68" s="19">
        <v>120</v>
      </c>
      <c r="BA68" s="17">
        <v>21.7</v>
      </c>
      <c r="BB68" s="17">
        <v>-0.5</v>
      </c>
    </row>
    <row r="69" spans="2:54" ht="16" x14ac:dyDescent="0.2">
      <c r="B69" s="1">
        <v>62</v>
      </c>
      <c r="C69" s="2">
        <v>737</v>
      </c>
      <c r="D69" s="2">
        <v>68</v>
      </c>
      <c r="E69" s="3">
        <v>45731</v>
      </c>
      <c r="F69" s="2" t="s">
        <v>4</v>
      </c>
      <c r="G69" s="2"/>
      <c r="H69" s="2" t="s">
        <v>31</v>
      </c>
      <c r="I69" s="2" t="s">
        <v>30</v>
      </c>
      <c r="J69" s="11">
        <f>(_xlfn.TEXTBEFORE(_xlfn.TEXTAFTER($I69,", ",,1),"-",,1,1,))*1</f>
        <v>123</v>
      </c>
      <c r="K69" s="11">
        <f>(_xlfn.TEXTBEFORE(_xlfn.TEXTAFTER($I69,"-",,1)," ",,1,1,))*1</f>
        <v>126</v>
      </c>
      <c r="L69" s="2" t="str">
        <f>LEFT('    #StatsTable'!$I69,1)</f>
        <v>L</v>
      </c>
      <c r="M69" s="2">
        <f>IF('    #StatsTable'!$L69="W", M68+1,M68)</f>
        <v>43</v>
      </c>
      <c r="N69" s="2">
        <f>IF('    #StatsTable'!$L69="L",N68+1,N68)</f>
        <v>25</v>
      </c>
      <c r="O69" s="2" t="s">
        <v>0</v>
      </c>
      <c r="P69" s="4">
        <v>1.6347222222222222</v>
      </c>
      <c r="Q69" s="28">
        <v>16</v>
      </c>
      <c r="R69" s="28">
        <v>30</v>
      </c>
      <c r="S69" s="15">
        <v>0.53300000000000003</v>
      </c>
      <c r="T69" s="28">
        <v>1</v>
      </c>
      <c r="U69" s="28">
        <v>8</v>
      </c>
      <c r="V69" s="15">
        <v>0.125</v>
      </c>
      <c r="W69" s="28">
        <v>15</v>
      </c>
      <c r="X69" s="28">
        <v>22</v>
      </c>
      <c r="Y69" s="15">
        <v>0.68200000000000005</v>
      </c>
      <c r="Z69" s="15">
        <v>0.55000000000000004</v>
      </c>
      <c r="AA69" s="28">
        <v>7</v>
      </c>
      <c r="AB69" s="28">
        <v>7</v>
      </c>
      <c r="AC69" s="15">
        <v>1</v>
      </c>
      <c r="AD69" s="28">
        <v>3</v>
      </c>
      <c r="AE69" s="28">
        <v>10</v>
      </c>
      <c r="AF69" s="28">
        <v>13</v>
      </c>
      <c r="AG69" s="28">
        <v>9</v>
      </c>
      <c r="AH69" s="28">
        <v>1</v>
      </c>
      <c r="AI69" s="28">
        <v>2</v>
      </c>
      <c r="AJ69" s="28">
        <v>3</v>
      </c>
      <c r="AK69" s="28">
        <v>3</v>
      </c>
      <c r="AL69" s="28">
        <v>40</v>
      </c>
      <c r="AM69" s="2">
        <v>35</v>
      </c>
      <c r="AN69" s="2">
        <v>6</v>
      </c>
      <c r="AO69" s="16">
        <v>0.60499999999999998</v>
      </c>
      <c r="AP69" s="16">
        <v>0.55000000000000004</v>
      </c>
      <c r="AQ69" s="16">
        <v>0.09</v>
      </c>
      <c r="AR69" s="16">
        <v>0.27200000000000002</v>
      </c>
      <c r="AS69" s="16">
        <v>0.185</v>
      </c>
      <c r="AT69" s="16">
        <v>0.38700000000000001</v>
      </c>
      <c r="AU69" s="16">
        <v>1.2E-2</v>
      </c>
      <c r="AV69" s="16">
        <v>4.9000000000000002E-2</v>
      </c>
      <c r="AW69" s="16">
        <v>8.3000000000000004E-2</v>
      </c>
      <c r="AX69" s="14">
        <v>0.36599999999999999</v>
      </c>
      <c r="AY69" s="19">
        <v>124</v>
      </c>
      <c r="AZ69" s="19">
        <v>118</v>
      </c>
      <c r="BA69" s="17">
        <v>35</v>
      </c>
      <c r="BB69" s="17">
        <v>7.6</v>
      </c>
    </row>
    <row r="70" spans="2:54" ht="16" x14ac:dyDescent="0.2">
      <c r="B70" s="1">
        <v>62</v>
      </c>
      <c r="C70" s="2"/>
      <c r="D70" s="2">
        <v>69</v>
      </c>
      <c r="E70" s="3">
        <v>45733</v>
      </c>
      <c r="F70" s="2" t="s">
        <v>4</v>
      </c>
      <c r="G70" s="2" t="s">
        <v>3</v>
      </c>
      <c r="H70" s="2" t="s">
        <v>12</v>
      </c>
      <c r="I70" s="2" t="s">
        <v>29</v>
      </c>
      <c r="J70" s="11">
        <f>(_xlfn.TEXTBEFORE(_xlfn.TEXTAFTER($I70,", ",,1),"-",,1,1,))*1</f>
        <v>114</v>
      </c>
      <c r="K70" s="11">
        <f>(_xlfn.TEXTBEFORE(_xlfn.TEXTAFTER($I70,"-",,1)," ",,1,1,))*1</f>
        <v>105</v>
      </c>
      <c r="L70" s="2" t="str">
        <f>LEFT('    #StatsTable'!$I70,1)</f>
        <v>W</v>
      </c>
      <c r="M70" s="2">
        <f>IF('    #StatsTable'!$L70="W", M69+1,M69)</f>
        <v>44</v>
      </c>
      <c r="N70" s="2">
        <f>IF('    #StatsTable'!$L70="L",N69+1,N69)</f>
        <v>25</v>
      </c>
      <c r="O70" s="2" t="s">
        <v>13</v>
      </c>
      <c r="P70" s="4" t="s">
        <v>208</v>
      </c>
      <c r="Q70" s="28" t="s">
        <v>208</v>
      </c>
      <c r="R70" s="28" t="s">
        <v>208</v>
      </c>
      <c r="S70" s="15" t="s">
        <v>208</v>
      </c>
      <c r="T70" s="28" t="s">
        <v>208</v>
      </c>
      <c r="U70" s="28" t="s">
        <v>208</v>
      </c>
      <c r="V70" s="15" t="s">
        <v>208</v>
      </c>
      <c r="W70" s="28" t="s">
        <v>208</v>
      </c>
      <c r="X70" s="28" t="s">
        <v>208</v>
      </c>
      <c r="Y70" s="15" t="s">
        <v>208</v>
      </c>
      <c r="Z70" s="15" t="s">
        <v>208</v>
      </c>
      <c r="AA70" s="28" t="s">
        <v>208</v>
      </c>
      <c r="AB70" s="28" t="s">
        <v>208</v>
      </c>
      <c r="AC70" s="15" t="s">
        <v>208</v>
      </c>
      <c r="AD70" s="28" t="s">
        <v>208</v>
      </c>
      <c r="AE70" s="28" t="s">
        <v>208</v>
      </c>
      <c r="AF70" s="28" t="s">
        <v>208</v>
      </c>
      <c r="AG70" s="28" t="s">
        <v>208</v>
      </c>
      <c r="AH70" s="28" t="s">
        <v>208</v>
      </c>
      <c r="AI70" s="28" t="s">
        <v>208</v>
      </c>
      <c r="AJ70" s="28" t="s">
        <v>208</v>
      </c>
      <c r="AK70" s="28" t="s">
        <v>208</v>
      </c>
      <c r="AL70" s="28" t="s">
        <v>208</v>
      </c>
      <c r="AM70" s="2" t="s">
        <v>208</v>
      </c>
      <c r="AN70" s="2" t="s">
        <v>208</v>
      </c>
      <c r="AO70" s="15" t="s">
        <v>208</v>
      </c>
      <c r="AP70" s="15" t="s">
        <v>208</v>
      </c>
      <c r="AQ70" s="15" t="s">
        <v>208</v>
      </c>
      <c r="AR70" s="15" t="s">
        <v>208</v>
      </c>
      <c r="AS70" s="15" t="s">
        <v>208</v>
      </c>
      <c r="AT70" s="15" t="s">
        <v>208</v>
      </c>
      <c r="AU70" s="15" t="s">
        <v>208</v>
      </c>
      <c r="AV70" s="15" t="s">
        <v>208</v>
      </c>
      <c r="AW70" s="15" t="s">
        <v>208</v>
      </c>
      <c r="AX70" s="15" t="s">
        <v>208</v>
      </c>
      <c r="AY70" s="28" t="s">
        <v>208</v>
      </c>
      <c r="AZ70" s="28" t="s">
        <v>208</v>
      </c>
      <c r="BA70" s="26" t="s">
        <v>208</v>
      </c>
      <c r="BB70" s="26" t="s">
        <v>208</v>
      </c>
    </row>
    <row r="71" spans="2:54" ht="16" x14ac:dyDescent="0.2">
      <c r="B71" s="1">
        <v>62</v>
      </c>
      <c r="C71" s="2"/>
      <c r="D71" s="2">
        <v>70</v>
      </c>
      <c r="E71" s="3">
        <v>45735</v>
      </c>
      <c r="F71" s="2" t="s">
        <v>4</v>
      </c>
      <c r="G71" s="2" t="s">
        <v>3</v>
      </c>
      <c r="H71" s="2" t="s">
        <v>28</v>
      </c>
      <c r="I71" s="2" t="s">
        <v>27</v>
      </c>
      <c r="J71" s="11">
        <f>(_xlfn.TEXTBEFORE(_xlfn.TEXTAFTER($I71,", ",,1),"-",,1,1,))*1</f>
        <v>108</v>
      </c>
      <c r="K71" s="11">
        <f>(_xlfn.TEXTBEFORE(_xlfn.TEXTAFTER($I71,"-",,1)," ",,1,1,))*1</f>
        <v>120</v>
      </c>
      <c r="L71" s="2" t="str">
        <f>LEFT('    #StatsTable'!$I71,1)</f>
        <v>L</v>
      </c>
      <c r="M71" s="2">
        <f>IF('    #StatsTable'!$L71="W", M70+1,M70)</f>
        <v>44</v>
      </c>
      <c r="N71" s="2">
        <f>IF('    #StatsTable'!$L71="L",N70+1,N70)</f>
        <v>26</v>
      </c>
      <c r="O71" s="2" t="s">
        <v>13</v>
      </c>
      <c r="P71" s="4" t="s">
        <v>208</v>
      </c>
      <c r="Q71" s="28" t="s">
        <v>208</v>
      </c>
      <c r="R71" s="28" t="s">
        <v>208</v>
      </c>
      <c r="S71" s="15" t="s">
        <v>208</v>
      </c>
      <c r="T71" s="28" t="s">
        <v>208</v>
      </c>
      <c r="U71" s="28" t="s">
        <v>208</v>
      </c>
      <c r="V71" s="15" t="s">
        <v>208</v>
      </c>
      <c r="W71" s="28" t="s">
        <v>208</v>
      </c>
      <c r="X71" s="28" t="s">
        <v>208</v>
      </c>
      <c r="Y71" s="15" t="s">
        <v>208</v>
      </c>
      <c r="Z71" s="15" t="s">
        <v>208</v>
      </c>
      <c r="AA71" s="28" t="s">
        <v>208</v>
      </c>
      <c r="AB71" s="28" t="s">
        <v>208</v>
      </c>
      <c r="AC71" s="15" t="s">
        <v>208</v>
      </c>
      <c r="AD71" s="28" t="s">
        <v>208</v>
      </c>
      <c r="AE71" s="28" t="s">
        <v>208</v>
      </c>
      <c r="AF71" s="28" t="s">
        <v>208</v>
      </c>
      <c r="AG71" s="28" t="s">
        <v>208</v>
      </c>
      <c r="AH71" s="28" t="s">
        <v>208</v>
      </c>
      <c r="AI71" s="28" t="s">
        <v>208</v>
      </c>
      <c r="AJ71" s="28" t="s">
        <v>208</v>
      </c>
      <c r="AK71" s="28" t="s">
        <v>208</v>
      </c>
      <c r="AL71" s="28" t="s">
        <v>208</v>
      </c>
      <c r="AM71" s="2" t="s">
        <v>208</v>
      </c>
      <c r="AN71" s="2" t="s">
        <v>208</v>
      </c>
      <c r="AO71" s="15" t="s">
        <v>208</v>
      </c>
      <c r="AP71" s="15" t="s">
        <v>208</v>
      </c>
      <c r="AQ71" s="15" t="s">
        <v>208</v>
      </c>
      <c r="AR71" s="15" t="s">
        <v>208</v>
      </c>
      <c r="AS71" s="15" t="s">
        <v>208</v>
      </c>
      <c r="AT71" s="15" t="s">
        <v>208</v>
      </c>
      <c r="AU71" s="15" t="s">
        <v>208</v>
      </c>
      <c r="AV71" s="15" t="s">
        <v>208</v>
      </c>
      <c r="AW71" s="15" t="s">
        <v>208</v>
      </c>
      <c r="AX71" s="15" t="s">
        <v>208</v>
      </c>
      <c r="AY71" s="28" t="s">
        <v>208</v>
      </c>
      <c r="AZ71" s="28" t="s">
        <v>208</v>
      </c>
      <c r="BA71" s="26" t="s">
        <v>208</v>
      </c>
      <c r="BB71" s="26" t="s">
        <v>208</v>
      </c>
    </row>
    <row r="72" spans="2:54" ht="16" x14ac:dyDescent="0.2">
      <c r="B72" s="1">
        <v>62</v>
      </c>
      <c r="C72" s="2"/>
      <c r="D72" s="2">
        <v>71</v>
      </c>
      <c r="E72" s="3">
        <v>45737</v>
      </c>
      <c r="F72" s="2" t="s">
        <v>4</v>
      </c>
      <c r="G72" s="2" t="s">
        <v>3</v>
      </c>
      <c r="H72" s="2" t="s">
        <v>26</v>
      </c>
      <c r="I72" s="2" t="s">
        <v>25</v>
      </c>
      <c r="J72" s="11">
        <f>(_xlfn.TEXTBEFORE(_xlfn.TEXTAFTER($I72,", ",,1),"-",,1,1,))*1</f>
        <v>109</v>
      </c>
      <c r="K72" s="11">
        <f>(_xlfn.TEXTBEFORE(_xlfn.TEXTAFTER($I72,"-",,1)," ",,1,1,))*1</f>
        <v>128</v>
      </c>
      <c r="L72" s="2" t="str">
        <f>LEFT('    #StatsTable'!$I72,1)</f>
        <v>L</v>
      </c>
      <c r="M72" s="2">
        <f>IF('    #StatsTable'!$L72="W", M71+1,M71)</f>
        <v>44</v>
      </c>
      <c r="N72" s="2">
        <f>IF('    #StatsTable'!$L72="L",N71+1,N71)</f>
        <v>27</v>
      </c>
      <c r="O72" s="2" t="s">
        <v>13</v>
      </c>
      <c r="P72" s="4" t="s">
        <v>208</v>
      </c>
      <c r="Q72" s="28" t="s">
        <v>208</v>
      </c>
      <c r="R72" s="28" t="s">
        <v>208</v>
      </c>
      <c r="S72" s="15" t="s">
        <v>208</v>
      </c>
      <c r="T72" s="28" t="s">
        <v>208</v>
      </c>
      <c r="U72" s="28" t="s">
        <v>208</v>
      </c>
      <c r="V72" s="15" t="s">
        <v>208</v>
      </c>
      <c r="W72" s="28" t="s">
        <v>208</v>
      </c>
      <c r="X72" s="28" t="s">
        <v>208</v>
      </c>
      <c r="Y72" s="15" t="s">
        <v>208</v>
      </c>
      <c r="Z72" s="15" t="s">
        <v>208</v>
      </c>
      <c r="AA72" s="28" t="s">
        <v>208</v>
      </c>
      <c r="AB72" s="28" t="s">
        <v>208</v>
      </c>
      <c r="AC72" s="15" t="s">
        <v>208</v>
      </c>
      <c r="AD72" s="28" t="s">
        <v>208</v>
      </c>
      <c r="AE72" s="28" t="s">
        <v>208</v>
      </c>
      <c r="AF72" s="28" t="s">
        <v>208</v>
      </c>
      <c r="AG72" s="28" t="s">
        <v>208</v>
      </c>
      <c r="AH72" s="28" t="s">
        <v>208</v>
      </c>
      <c r="AI72" s="28" t="s">
        <v>208</v>
      </c>
      <c r="AJ72" s="28" t="s">
        <v>208</v>
      </c>
      <c r="AK72" s="28" t="s">
        <v>208</v>
      </c>
      <c r="AL72" s="28" t="s">
        <v>208</v>
      </c>
      <c r="AM72" s="2" t="s">
        <v>208</v>
      </c>
      <c r="AN72" s="2" t="s">
        <v>208</v>
      </c>
      <c r="AO72" s="15" t="s">
        <v>208</v>
      </c>
      <c r="AP72" s="15" t="s">
        <v>208</v>
      </c>
      <c r="AQ72" s="15" t="s">
        <v>208</v>
      </c>
      <c r="AR72" s="15" t="s">
        <v>208</v>
      </c>
      <c r="AS72" s="15" t="s">
        <v>208</v>
      </c>
      <c r="AT72" s="15" t="s">
        <v>208</v>
      </c>
      <c r="AU72" s="15" t="s">
        <v>208</v>
      </c>
      <c r="AV72" s="15" t="s">
        <v>208</v>
      </c>
      <c r="AW72" s="15" t="s">
        <v>208</v>
      </c>
      <c r="AX72" s="15" t="s">
        <v>208</v>
      </c>
      <c r="AY72" s="28" t="s">
        <v>208</v>
      </c>
      <c r="AZ72" s="28" t="s">
        <v>208</v>
      </c>
      <c r="BA72" s="26" t="s">
        <v>208</v>
      </c>
      <c r="BB72" s="26" t="s">
        <v>208</v>
      </c>
    </row>
    <row r="73" spans="2:54" ht="16" x14ac:dyDescent="0.2">
      <c r="B73" s="1">
        <v>62</v>
      </c>
      <c r="C73" s="2"/>
      <c r="D73" s="2">
        <v>72</v>
      </c>
      <c r="E73" s="3">
        <v>45739</v>
      </c>
      <c r="F73" s="2" t="s">
        <v>4</v>
      </c>
      <c r="G73" s="2" t="s">
        <v>3</v>
      </c>
      <c r="H73" s="2" t="s">
        <v>2</v>
      </c>
      <c r="I73" s="2" t="s">
        <v>24</v>
      </c>
      <c r="J73" s="11">
        <f>(_xlfn.TEXTBEFORE(_xlfn.TEXTAFTER($I73,", ",,1),"-",,1,1,))*1</f>
        <v>116</v>
      </c>
      <c r="K73" s="11">
        <f>(_xlfn.TEXTBEFORE(_xlfn.TEXTAFTER($I73,"-",,1)," ",,1,1,))*1</f>
        <v>111</v>
      </c>
      <c r="L73" s="2" t="str">
        <f>LEFT('    #StatsTable'!$I73,1)</f>
        <v>W</v>
      </c>
      <c r="M73" s="2">
        <f>IF('    #StatsTable'!$L73="W", M72+1,M72)</f>
        <v>45</v>
      </c>
      <c r="N73" s="2">
        <f>IF('    #StatsTable'!$L73="L",N72+1,N72)</f>
        <v>27</v>
      </c>
      <c r="O73" s="2" t="s">
        <v>13</v>
      </c>
      <c r="P73" s="4" t="s">
        <v>208</v>
      </c>
      <c r="Q73" s="28" t="s">
        <v>208</v>
      </c>
      <c r="R73" s="28" t="s">
        <v>208</v>
      </c>
      <c r="S73" s="15" t="s">
        <v>208</v>
      </c>
      <c r="T73" s="28" t="s">
        <v>208</v>
      </c>
      <c r="U73" s="28" t="s">
        <v>208</v>
      </c>
      <c r="V73" s="15" t="s">
        <v>208</v>
      </c>
      <c r="W73" s="28" t="s">
        <v>208</v>
      </c>
      <c r="X73" s="28" t="s">
        <v>208</v>
      </c>
      <c r="Y73" s="15" t="s">
        <v>208</v>
      </c>
      <c r="Z73" s="15" t="s">
        <v>208</v>
      </c>
      <c r="AA73" s="28" t="s">
        <v>208</v>
      </c>
      <c r="AB73" s="28" t="s">
        <v>208</v>
      </c>
      <c r="AC73" s="15" t="s">
        <v>208</v>
      </c>
      <c r="AD73" s="28" t="s">
        <v>208</v>
      </c>
      <c r="AE73" s="28" t="s">
        <v>208</v>
      </c>
      <c r="AF73" s="28" t="s">
        <v>208</v>
      </c>
      <c r="AG73" s="28" t="s">
        <v>208</v>
      </c>
      <c r="AH73" s="28" t="s">
        <v>208</v>
      </c>
      <c r="AI73" s="28" t="s">
        <v>208</v>
      </c>
      <c r="AJ73" s="28" t="s">
        <v>208</v>
      </c>
      <c r="AK73" s="28" t="s">
        <v>208</v>
      </c>
      <c r="AL73" s="28" t="s">
        <v>208</v>
      </c>
      <c r="AM73" s="2" t="s">
        <v>208</v>
      </c>
      <c r="AN73" s="2" t="s">
        <v>208</v>
      </c>
      <c r="AO73" s="15" t="s">
        <v>208</v>
      </c>
      <c r="AP73" s="15" t="s">
        <v>208</v>
      </c>
      <c r="AQ73" s="15" t="s">
        <v>208</v>
      </c>
      <c r="AR73" s="15" t="s">
        <v>208</v>
      </c>
      <c r="AS73" s="15" t="s">
        <v>208</v>
      </c>
      <c r="AT73" s="15" t="s">
        <v>208</v>
      </c>
      <c r="AU73" s="15" t="s">
        <v>208</v>
      </c>
      <c r="AV73" s="15" t="s">
        <v>208</v>
      </c>
      <c r="AW73" s="15" t="s">
        <v>208</v>
      </c>
      <c r="AX73" s="15" t="s">
        <v>208</v>
      </c>
      <c r="AY73" s="28" t="s">
        <v>208</v>
      </c>
      <c r="AZ73" s="28" t="s">
        <v>208</v>
      </c>
      <c r="BA73" s="26" t="s">
        <v>208</v>
      </c>
      <c r="BB73" s="26" t="s">
        <v>208</v>
      </c>
    </row>
    <row r="74" spans="2:54" ht="16" x14ac:dyDescent="0.2">
      <c r="B74" s="1">
        <v>62</v>
      </c>
      <c r="C74" s="2"/>
      <c r="D74" s="2">
        <v>73</v>
      </c>
      <c r="E74" s="3">
        <v>45740</v>
      </c>
      <c r="F74" s="2" t="s">
        <v>4</v>
      </c>
      <c r="G74" s="2"/>
      <c r="H74" s="2" t="s">
        <v>23</v>
      </c>
      <c r="I74" s="2" t="s">
        <v>22</v>
      </c>
      <c r="J74" s="11">
        <f>(_xlfn.TEXTBEFORE(_xlfn.TEXTAFTER($I74,", ",,1),"-",,1,1,))*1</f>
        <v>119</v>
      </c>
      <c r="K74" s="11">
        <f>(_xlfn.TEXTBEFORE(_xlfn.TEXTAFTER($I74,"-",,1)," ",,1,1,))*1</f>
        <v>129</v>
      </c>
      <c r="L74" s="2" t="str">
        <f>LEFT('    #StatsTable'!$I74,1)</f>
        <v>L</v>
      </c>
      <c r="M74" s="2">
        <f>IF('    #StatsTable'!$L74="W", M73+1,M73)</f>
        <v>45</v>
      </c>
      <c r="N74" s="2">
        <f>IF('    #StatsTable'!$L74="L",N73+1,N73)</f>
        <v>28</v>
      </c>
      <c r="O74" s="2" t="s">
        <v>13</v>
      </c>
      <c r="P74" s="4" t="s">
        <v>208</v>
      </c>
      <c r="Q74" s="28" t="s">
        <v>208</v>
      </c>
      <c r="R74" s="28" t="s">
        <v>208</v>
      </c>
      <c r="S74" s="15" t="s">
        <v>208</v>
      </c>
      <c r="T74" s="28" t="s">
        <v>208</v>
      </c>
      <c r="U74" s="28" t="s">
        <v>208</v>
      </c>
      <c r="V74" s="15" t="s">
        <v>208</v>
      </c>
      <c r="W74" s="28" t="s">
        <v>208</v>
      </c>
      <c r="X74" s="28" t="s">
        <v>208</v>
      </c>
      <c r="Y74" s="15" t="s">
        <v>208</v>
      </c>
      <c r="Z74" s="15" t="s">
        <v>208</v>
      </c>
      <c r="AA74" s="28" t="s">
        <v>208</v>
      </c>
      <c r="AB74" s="28" t="s">
        <v>208</v>
      </c>
      <c r="AC74" s="15" t="s">
        <v>208</v>
      </c>
      <c r="AD74" s="28" t="s">
        <v>208</v>
      </c>
      <c r="AE74" s="28" t="s">
        <v>208</v>
      </c>
      <c r="AF74" s="28" t="s">
        <v>208</v>
      </c>
      <c r="AG74" s="28" t="s">
        <v>208</v>
      </c>
      <c r="AH74" s="28" t="s">
        <v>208</v>
      </c>
      <c r="AI74" s="28" t="s">
        <v>208</v>
      </c>
      <c r="AJ74" s="28" t="s">
        <v>208</v>
      </c>
      <c r="AK74" s="28" t="s">
        <v>208</v>
      </c>
      <c r="AL74" s="28" t="s">
        <v>208</v>
      </c>
      <c r="AM74" s="2" t="s">
        <v>208</v>
      </c>
      <c r="AN74" s="2" t="s">
        <v>208</v>
      </c>
      <c r="AO74" s="15" t="s">
        <v>208</v>
      </c>
      <c r="AP74" s="15" t="s">
        <v>208</v>
      </c>
      <c r="AQ74" s="15" t="s">
        <v>208</v>
      </c>
      <c r="AR74" s="15" t="s">
        <v>208</v>
      </c>
      <c r="AS74" s="15" t="s">
        <v>208</v>
      </c>
      <c r="AT74" s="15" t="s">
        <v>208</v>
      </c>
      <c r="AU74" s="15" t="s">
        <v>208</v>
      </c>
      <c r="AV74" s="15" t="s">
        <v>208</v>
      </c>
      <c r="AW74" s="15" t="s">
        <v>208</v>
      </c>
      <c r="AX74" s="15" t="s">
        <v>208</v>
      </c>
      <c r="AY74" s="28" t="s">
        <v>208</v>
      </c>
      <c r="AZ74" s="28" t="s">
        <v>208</v>
      </c>
      <c r="BA74" s="26" t="s">
        <v>208</v>
      </c>
      <c r="BB74" s="26" t="s">
        <v>208</v>
      </c>
    </row>
    <row r="75" spans="2:54" ht="16" x14ac:dyDescent="0.2">
      <c r="B75" s="1">
        <v>63</v>
      </c>
      <c r="C75" s="2">
        <v>738</v>
      </c>
      <c r="D75" s="2">
        <v>74</v>
      </c>
      <c r="E75" s="3">
        <v>45742</v>
      </c>
      <c r="F75" s="2" t="s">
        <v>4</v>
      </c>
      <c r="G75" s="2"/>
      <c r="H75" s="2" t="s">
        <v>21</v>
      </c>
      <c r="I75" s="2" t="s">
        <v>20</v>
      </c>
      <c r="J75" s="11">
        <f>(_xlfn.TEXTBEFORE(_xlfn.TEXTAFTER($I75,", ",,1),"-",,1,1,))*1</f>
        <v>127</v>
      </c>
      <c r="K75" s="11">
        <f>(_xlfn.TEXTBEFORE(_xlfn.TEXTAFTER($I75,"-",,1)," ",,1,1,))*1</f>
        <v>117</v>
      </c>
      <c r="L75" s="2" t="str">
        <f>LEFT('    #StatsTable'!$I75,1)</f>
        <v>W</v>
      </c>
      <c r="M75" s="2">
        <f>IF('    #StatsTable'!$L75="W", M74+1,M74)</f>
        <v>46</v>
      </c>
      <c r="N75" s="2">
        <f>IF('    #StatsTable'!$L75="L",N74+1,N74)</f>
        <v>28</v>
      </c>
      <c r="O75" s="2" t="s">
        <v>0</v>
      </c>
      <c r="P75" s="4">
        <v>1.5874999999999999</v>
      </c>
      <c r="Q75" s="28">
        <v>16</v>
      </c>
      <c r="R75" s="28">
        <v>25</v>
      </c>
      <c r="S75" s="15">
        <v>0.64</v>
      </c>
      <c r="T75" s="28">
        <v>3</v>
      </c>
      <c r="U75" s="28">
        <v>6</v>
      </c>
      <c r="V75" s="15">
        <v>0.5</v>
      </c>
      <c r="W75" s="28">
        <v>13</v>
      </c>
      <c r="X75" s="28">
        <v>19</v>
      </c>
      <c r="Y75" s="15">
        <v>0.68400000000000005</v>
      </c>
      <c r="Z75" s="15">
        <v>0.7</v>
      </c>
      <c r="AA75" s="28">
        <v>4</v>
      </c>
      <c r="AB75" s="28">
        <v>7</v>
      </c>
      <c r="AC75" s="15">
        <v>0.57099999999999995</v>
      </c>
      <c r="AD75" s="28">
        <v>2</v>
      </c>
      <c r="AE75" s="28">
        <v>8</v>
      </c>
      <c r="AF75" s="28">
        <v>10</v>
      </c>
      <c r="AG75" s="28">
        <v>10</v>
      </c>
      <c r="AH75" s="28">
        <v>0</v>
      </c>
      <c r="AI75" s="28">
        <v>0</v>
      </c>
      <c r="AJ75" s="28">
        <v>3</v>
      </c>
      <c r="AK75" s="28">
        <v>2</v>
      </c>
      <c r="AL75" s="28">
        <v>39</v>
      </c>
      <c r="AM75" s="2">
        <v>33.700000000000003</v>
      </c>
      <c r="AN75" s="2">
        <v>14</v>
      </c>
      <c r="AO75" s="16">
        <v>0.69399999999999995</v>
      </c>
      <c r="AP75" s="16">
        <v>0.7</v>
      </c>
      <c r="AQ75" s="16">
        <v>6.5000000000000002E-2</v>
      </c>
      <c r="AR75" s="16">
        <v>0.21899999999999997</v>
      </c>
      <c r="AS75" s="16">
        <v>0.14800000000000002</v>
      </c>
      <c r="AT75" s="16">
        <v>0.43700000000000006</v>
      </c>
      <c r="AU75" s="16">
        <v>0</v>
      </c>
      <c r="AV75" s="16">
        <v>0</v>
      </c>
      <c r="AW75" s="16">
        <v>9.6999999999999989E-2</v>
      </c>
      <c r="AX75" s="16">
        <v>0.35700000000000004</v>
      </c>
      <c r="AY75" s="19">
        <v>135</v>
      </c>
      <c r="AZ75" s="19">
        <v>122</v>
      </c>
      <c r="BA75" s="17">
        <v>33.700000000000003</v>
      </c>
      <c r="BB75" s="17">
        <v>10.8</v>
      </c>
    </row>
    <row r="76" spans="2:54" ht="16" x14ac:dyDescent="0.2">
      <c r="B76" s="1">
        <v>64</v>
      </c>
      <c r="C76" s="2">
        <v>739</v>
      </c>
      <c r="D76" s="2">
        <v>75</v>
      </c>
      <c r="E76" s="3">
        <v>45744</v>
      </c>
      <c r="F76" s="2" t="s">
        <v>4</v>
      </c>
      <c r="G76" s="2"/>
      <c r="H76" s="2" t="s">
        <v>19</v>
      </c>
      <c r="I76" s="2" t="s">
        <v>18</v>
      </c>
      <c r="J76" s="11">
        <f>(_xlfn.TEXTBEFORE(_xlfn.TEXTAFTER($I76,", ",,1),"-",,1,1,))*1</f>
        <v>129</v>
      </c>
      <c r="K76" s="11">
        <f>(_xlfn.TEXTBEFORE(_xlfn.TEXTAFTER($I76,"-",,1)," ",,1,1,))*1</f>
        <v>93</v>
      </c>
      <c r="L76" s="2" t="str">
        <f>LEFT('    #StatsTable'!$I76,1)</f>
        <v>W</v>
      </c>
      <c r="M76" s="2">
        <f>IF('    #StatsTable'!$L76="W", M75+1,M75)</f>
        <v>47</v>
      </c>
      <c r="N76" s="2">
        <f>IF('    #StatsTable'!$L76="L",N75+1,N75)</f>
        <v>28</v>
      </c>
      <c r="O76" s="2" t="s">
        <v>0</v>
      </c>
      <c r="P76" s="4">
        <v>1.3145833333333334</v>
      </c>
      <c r="Q76" s="28">
        <v>8</v>
      </c>
      <c r="R76" s="28">
        <v>18</v>
      </c>
      <c r="S76" s="15">
        <v>0.44400000000000001</v>
      </c>
      <c r="T76" s="28">
        <v>1</v>
      </c>
      <c r="U76" s="28">
        <v>5</v>
      </c>
      <c r="V76" s="15">
        <v>0.2</v>
      </c>
      <c r="W76" s="28">
        <v>7</v>
      </c>
      <c r="X76" s="28">
        <v>13</v>
      </c>
      <c r="Y76" s="15">
        <v>0.53800000000000003</v>
      </c>
      <c r="Z76" s="15">
        <v>0.47199999999999998</v>
      </c>
      <c r="AA76" s="28">
        <v>10</v>
      </c>
      <c r="AB76" s="28">
        <v>12</v>
      </c>
      <c r="AC76" s="15">
        <v>0.83299999999999996</v>
      </c>
      <c r="AD76" s="28">
        <v>5</v>
      </c>
      <c r="AE76" s="28">
        <v>9</v>
      </c>
      <c r="AF76" s="28">
        <v>14</v>
      </c>
      <c r="AG76" s="28">
        <v>6</v>
      </c>
      <c r="AH76" s="28">
        <v>4</v>
      </c>
      <c r="AI76" s="28">
        <v>0</v>
      </c>
      <c r="AJ76" s="28">
        <v>3</v>
      </c>
      <c r="AK76" s="28">
        <v>0</v>
      </c>
      <c r="AL76" s="28">
        <v>27</v>
      </c>
      <c r="AM76" s="2">
        <v>28.2</v>
      </c>
      <c r="AN76" s="2">
        <v>28</v>
      </c>
      <c r="AO76" s="16">
        <v>0.57999999999999996</v>
      </c>
      <c r="AP76" s="16">
        <v>0.47199999999999998</v>
      </c>
      <c r="AQ76" s="16">
        <v>0.20600000000000002</v>
      </c>
      <c r="AR76" s="16">
        <v>0.27399999999999997</v>
      </c>
      <c r="AS76" s="16">
        <v>0.245</v>
      </c>
      <c r="AT76" s="16">
        <v>0.255</v>
      </c>
      <c r="AU76" s="16">
        <v>5.9000000000000004E-2</v>
      </c>
      <c r="AV76" s="16">
        <v>0</v>
      </c>
      <c r="AW76" s="16">
        <v>0.114</v>
      </c>
      <c r="AX76" s="16">
        <v>0.35299999999999998</v>
      </c>
      <c r="AY76" s="19">
        <v>125</v>
      </c>
      <c r="AZ76" s="19">
        <v>80</v>
      </c>
      <c r="BA76" s="17">
        <v>28.2</v>
      </c>
      <c r="BB76" s="17">
        <v>7.6</v>
      </c>
    </row>
    <row r="77" spans="2:54" ht="16" x14ac:dyDescent="0.2">
      <c r="B77" s="1">
        <v>65</v>
      </c>
      <c r="C77" s="2">
        <v>740</v>
      </c>
      <c r="D77" s="2">
        <v>76</v>
      </c>
      <c r="E77" s="3">
        <v>45748</v>
      </c>
      <c r="F77" s="2" t="s">
        <v>4</v>
      </c>
      <c r="G77" s="2"/>
      <c r="H77" s="2" t="s">
        <v>17</v>
      </c>
      <c r="I77" s="2" t="s">
        <v>16</v>
      </c>
      <c r="J77" s="11">
        <f>(_xlfn.TEXTBEFORE(_xlfn.TEXTAFTER($I77,", ",,1),"-",,1,1,))*1</f>
        <v>139</v>
      </c>
      <c r="K77" s="11">
        <f>(_xlfn.TEXTBEFORE(_xlfn.TEXTAFTER($I77,"-",,1)," ",,1,1,))*1</f>
        <v>140</v>
      </c>
      <c r="L77" s="2" t="str">
        <f>LEFT('    #StatsTable'!$I77,1)</f>
        <v>L</v>
      </c>
      <c r="M77" s="2">
        <f>IF('    #StatsTable'!$L77="W", M76+1,M76)</f>
        <v>47</v>
      </c>
      <c r="N77" s="2">
        <f>IF('    #StatsTable'!$L77="L",N76+1,N76)</f>
        <v>29</v>
      </c>
      <c r="O77" s="2" t="s">
        <v>0</v>
      </c>
      <c r="P77" s="4">
        <v>2.1930555555555555</v>
      </c>
      <c r="Q77" s="28">
        <v>18</v>
      </c>
      <c r="R77" s="28">
        <v>29</v>
      </c>
      <c r="S77" s="15">
        <v>0.621</v>
      </c>
      <c r="T77" s="28">
        <v>6</v>
      </c>
      <c r="U77" s="28">
        <v>11</v>
      </c>
      <c r="V77" s="15">
        <v>0.54500000000000004</v>
      </c>
      <c r="W77" s="28">
        <v>12</v>
      </c>
      <c r="X77" s="28">
        <v>18</v>
      </c>
      <c r="Y77" s="15">
        <v>0.66700000000000004</v>
      </c>
      <c r="Z77" s="15">
        <v>0.72399999999999998</v>
      </c>
      <c r="AA77" s="28">
        <v>19</v>
      </c>
      <c r="AB77" s="28">
        <v>24</v>
      </c>
      <c r="AC77" s="15">
        <v>0.79200000000000004</v>
      </c>
      <c r="AD77" s="28">
        <v>2</v>
      </c>
      <c r="AE77" s="28">
        <v>8</v>
      </c>
      <c r="AF77" s="28">
        <v>10</v>
      </c>
      <c r="AG77" s="28">
        <v>10</v>
      </c>
      <c r="AH77" s="28">
        <v>2</v>
      </c>
      <c r="AI77" s="28">
        <v>0</v>
      </c>
      <c r="AJ77" s="28">
        <v>4</v>
      </c>
      <c r="AK77" s="28">
        <v>5</v>
      </c>
      <c r="AL77" s="28">
        <v>61</v>
      </c>
      <c r="AM77" s="2">
        <v>52.7</v>
      </c>
      <c r="AN77" s="2">
        <v>2</v>
      </c>
      <c r="AO77" s="16">
        <v>0.77100000000000002</v>
      </c>
      <c r="AP77" s="16">
        <v>0.72399999999999998</v>
      </c>
      <c r="AQ77" s="16">
        <v>5.7000000000000002E-2</v>
      </c>
      <c r="AR77" s="16">
        <v>0.152</v>
      </c>
      <c r="AS77" s="16">
        <v>0.114</v>
      </c>
      <c r="AT77" s="16">
        <v>0.40600000000000003</v>
      </c>
      <c r="AU77" s="16">
        <v>0.02</v>
      </c>
      <c r="AV77" s="16">
        <v>0</v>
      </c>
      <c r="AW77" s="16">
        <v>9.1999999999999998E-2</v>
      </c>
      <c r="AX77" s="16">
        <v>0.38900000000000001</v>
      </c>
      <c r="AY77" s="19">
        <v>148</v>
      </c>
      <c r="AZ77" s="19">
        <v>122</v>
      </c>
      <c r="BA77" s="17">
        <v>52.7</v>
      </c>
      <c r="BB77" s="17">
        <v>17.3</v>
      </c>
    </row>
    <row r="78" spans="2:54" ht="16" x14ac:dyDescent="0.2">
      <c r="B78" s="1">
        <v>65</v>
      </c>
      <c r="C78" s="2"/>
      <c r="D78" s="2">
        <v>77</v>
      </c>
      <c r="E78" s="3">
        <v>45749</v>
      </c>
      <c r="F78" s="2" t="s">
        <v>4</v>
      </c>
      <c r="G78" s="2"/>
      <c r="H78" s="2" t="s">
        <v>15</v>
      </c>
      <c r="I78" s="2" t="s">
        <v>14</v>
      </c>
      <c r="J78" s="11">
        <f>(_xlfn.TEXTBEFORE(_xlfn.TEXTAFTER($I78,", ",,1),"-",,1,1,))*1</f>
        <v>106</v>
      </c>
      <c r="K78" s="11">
        <f>(_xlfn.TEXTBEFORE(_xlfn.TEXTAFTER($I78,"-",,1)," ",,1,1,))*1</f>
        <v>113</v>
      </c>
      <c r="L78" s="2" t="str">
        <f>LEFT('    #StatsTable'!$I78,1)</f>
        <v>L</v>
      </c>
      <c r="M78" s="2">
        <f>IF('    #StatsTable'!$L78="W", M77+1,M77)</f>
        <v>47</v>
      </c>
      <c r="N78" s="2">
        <f>IF('    #StatsTable'!$L78="L",N77+1,N77)</f>
        <v>30</v>
      </c>
      <c r="O78" s="2" t="s">
        <v>13</v>
      </c>
      <c r="P78" s="4" t="s">
        <v>208</v>
      </c>
      <c r="Q78" s="28" t="s">
        <v>208</v>
      </c>
      <c r="R78" s="28" t="s">
        <v>208</v>
      </c>
      <c r="S78" s="15" t="s">
        <v>208</v>
      </c>
      <c r="T78" s="28" t="s">
        <v>208</v>
      </c>
      <c r="U78" s="28" t="s">
        <v>208</v>
      </c>
      <c r="V78" s="15" t="s">
        <v>208</v>
      </c>
      <c r="W78" s="28" t="s">
        <v>208</v>
      </c>
      <c r="X78" s="28" t="s">
        <v>208</v>
      </c>
      <c r="Y78" s="15" t="s">
        <v>208</v>
      </c>
      <c r="Z78" s="15" t="s">
        <v>208</v>
      </c>
      <c r="AA78" s="28" t="s">
        <v>208</v>
      </c>
      <c r="AB78" s="28" t="s">
        <v>208</v>
      </c>
      <c r="AC78" s="15" t="s">
        <v>208</v>
      </c>
      <c r="AD78" s="28" t="s">
        <v>208</v>
      </c>
      <c r="AE78" s="28" t="s">
        <v>208</v>
      </c>
      <c r="AF78" s="28" t="s">
        <v>208</v>
      </c>
      <c r="AG78" s="28" t="s">
        <v>208</v>
      </c>
      <c r="AH78" s="28" t="s">
        <v>208</v>
      </c>
      <c r="AI78" s="28" t="s">
        <v>208</v>
      </c>
      <c r="AJ78" s="28" t="s">
        <v>208</v>
      </c>
      <c r="AK78" s="28" t="s">
        <v>208</v>
      </c>
      <c r="AL78" s="28" t="s">
        <v>208</v>
      </c>
      <c r="AM78" s="2" t="s">
        <v>208</v>
      </c>
      <c r="AN78" s="2" t="s">
        <v>208</v>
      </c>
      <c r="AO78" s="15" t="s">
        <v>208</v>
      </c>
      <c r="AP78" s="15" t="s">
        <v>208</v>
      </c>
      <c r="AQ78" s="15" t="s">
        <v>208</v>
      </c>
      <c r="AR78" s="15" t="s">
        <v>208</v>
      </c>
      <c r="AS78" s="15" t="s">
        <v>208</v>
      </c>
      <c r="AT78" s="15" t="s">
        <v>208</v>
      </c>
      <c r="AU78" s="15" t="s">
        <v>208</v>
      </c>
      <c r="AV78" s="15" t="s">
        <v>208</v>
      </c>
      <c r="AW78" s="15" t="s">
        <v>208</v>
      </c>
      <c r="AX78" s="15" t="s">
        <v>208</v>
      </c>
      <c r="AY78" s="28" t="s">
        <v>208</v>
      </c>
      <c r="AZ78" s="28" t="s">
        <v>208</v>
      </c>
      <c r="BA78" s="26" t="s">
        <v>208</v>
      </c>
      <c r="BB78" s="26" t="s">
        <v>208</v>
      </c>
    </row>
    <row r="79" spans="2:54" ht="16" x14ac:dyDescent="0.2">
      <c r="B79" s="1">
        <v>66</v>
      </c>
      <c r="C79" s="2">
        <v>741</v>
      </c>
      <c r="D79" s="2">
        <v>78</v>
      </c>
      <c r="E79" s="3">
        <v>45751</v>
      </c>
      <c r="F79" s="2" t="s">
        <v>4</v>
      </c>
      <c r="G79" s="2" t="s">
        <v>3</v>
      </c>
      <c r="H79" s="2" t="s">
        <v>12</v>
      </c>
      <c r="I79" s="2" t="s">
        <v>11</v>
      </c>
      <c r="J79" s="11">
        <f>(_xlfn.TEXTBEFORE(_xlfn.TEXTAFTER($I79,", ",,1),"-",,1,1,))*1</f>
        <v>104</v>
      </c>
      <c r="K79" s="11">
        <f>(_xlfn.TEXTBEFORE(_xlfn.TEXTAFTER($I79,"-",,1)," ",,1,1,))*1</f>
        <v>118</v>
      </c>
      <c r="L79" s="2" t="str">
        <f>LEFT('    #StatsTable'!$I79,1)</f>
        <v>L</v>
      </c>
      <c r="M79" s="2">
        <f>IF('    #StatsTable'!$L79="W", M78+1,M78)</f>
        <v>47</v>
      </c>
      <c r="N79" s="2">
        <f>IF('    #StatsTable'!$L79="L",N78+1,N78)</f>
        <v>31</v>
      </c>
      <c r="O79" s="2" t="s">
        <v>0</v>
      </c>
      <c r="P79" s="4">
        <v>1.5506944444444444</v>
      </c>
      <c r="Q79" s="28">
        <v>13</v>
      </c>
      <c r="R79" s="28">
        <v>17</v>
      </c>
      <c r="S79" s="15">
        <v>0.76500000000000001</v>
      </c>
      <c r="T79" s="28">
        <v>4</v>
      </c>
      <c r="U79" s="28">
        <v>7</v>
      </c>
      <c r="V79" s="15">
        <v>0.57099999999999995</v>
      </c>
      <c r="W79" s="28">
        <v>9</v>
      </c>
      <c r="X79" s="28">
        <v>10</v>
      </c>
      <c r="Y79" s="15">
        <v>0.9</v>
      </c>
      <c r="Z79" s="15">
        <v>0.88200000000000001</v>
      </c>
      <c r="AA79" s="28">
        <v>3</v>
      </c>
      <c r="AB79" s="28">
        <v>3</v>
      </c>
      <c r="AC79" s="15">
        <v>1</v>
      </c>
      <c r="AD79" s="28">
        <v>2</v>
      </c>
      <c r="AE79" s="28">
        <v>10</v>
      </c>
      <c r="AF79" s="28">
        <v>12</v>
      </c>
      <c r="AG79" s="28">
        <v>9</v>
      </c>
      <c r="AH79" s="28">
        <v>2</v>
      </c>
      <c r="AI79" s="28">
        <v>0</v>
      </c>
      <c r="AJ79" s="28">
        <v>6</v>
      </c>
      <c r="AK79" s="28">
        <v>2</v>
      </c>
      <c r="AL79" s="28">
        <v>33</v>
      </c>
      <c r="AM79" s="2">
        <v>32.200000000000003</v>
      </c>
      <c r="AN79" s="2">
        <v>-4</v>
      </c>
      <c r="AO79" s="16">
        <v>0.90100000000000002</v>
      </c>
      <c r="AP79" s="16">
        <v>0.88200000000000001</v>
      </c>
      <c r="AQ79" s="16">
        <v>8.1000000000000003E-2</v>
      </c>
      <c r="AR79" s="16">
        <v>0.307</v>
      </c>
      <c r="AS79" s="16">
        <v>0.20899999999999999</v>
      </c>
      <c r="AT79" s="16">
        <v>0.5</v>
      </c>
      <c r="AU79" s="16">
        <v>2.7000000000000003E-2</v>
      </c>
      <c r="AV79" s="16">
        <v>0</v>
      </c>
      <c r="AW79" s="16">
        <v>0.247</v>
      </c>
      <c r="AX79" s="16">
        <v>0.29699999999999999</v>
      </c>
      <c r="AY79" s="19">
        <v>138</v>
      </c>
      <c r="AZ79" s="19">
        <v>116</v>
      </c>
      <c r="BA79" s="17">
        <v>32.200000000000003</v>
      </c>
      <c r="BB79" s="17">
        <v>17.5</v>
      </c>
    </row>
    <row r="80" spans="2:54" ht="16" x14ac:dyDescent="0.2">
      <c r="B80" s="1">
        <v>67</v>
      </c>
      <c r="C80" s="2">
        <v>742</v>
      </c>
      <c r="D80" s="2">
        <v>79</v>
      </c>
      <c r="E80" s="3">
        <v>45753</v>
      </c>
      <c r="F80" s="2" t="s">
        <v>4</v>
      </c>
      <c r="G80" s="2"/>
      <c r="H80" s="2" t="s">
        <v>10</v>
      </c>
      <c r="I80" s="2" t="s">
        <v>9</v>
      </c>
      <c r="J80" s="11">
        <f>(_xlfn.TEXTBEFORE(_xlfn.TEXTAFTER($I80,", ",,1),"-",,1,1,))*1</f>
        <v>120</v>
      </c>
      <c r="K80" s="11">
        <f>(_xlfn.TEXTBEFORE(_xlfn.TEXTAFTER($I80,"-",,1)," ",,1,1,))*1</f>
        <v>125</v>
      </c>
      <c r="L80" s="2" t="str">
        <f>LEFT('    #StatsTable'!$I80,1)</f>
        <v>L</v>
      </c>
      <c r="M80" s="2">
        <f>IF('    #StatsTable'!$L80="W", M79+1,M79)</f>
        <v>47</v>
      </c>
      <c r="N80" s="2">
        <f>IF('    #StatsTable'!$L80="L",N79+1,N79)</f>
        <v>32</v>
      </c>
      <c r="O80" s="2" t="s">
        <v>0</v>
      </c>
      <c r="P80" s="4">
        <v>1.625</v>
      </c>
      <c r="Q80" s="28">
        <v>18</v>
      </c>
      <c r="R80" s="28">
        <v>33</v>
      </c>
      <c r="S80" s="15">
        <v>0.54500000000000004</v>
      </c>
      <c r="T80" s="28">
        <v>3</v>
      </c>
      <c r="U80" s="28">
        <v>11</v>
      </c>
      <c r="V80" s="15">
        <v>0.27300000000000002</v>
      </c>
      <c r="W80" s="28">
        <v>15</v>
      </c>
      <c r="X80" s="28">
        <v>22</v>
      </c>
      <c r="Y80" s="15">
        <v>0.68200000000000005</v>
      </c>
      <c r="Z80" s="15">
        <v>0.59099999999999997</v>
      </c>
      <c r="AA80" s="28">
        <v>2</v>
      </c>
      <c r="AB80" s="28">
        <v>3</v>
      </c>
      <c r="AC80" s="15">
        <v>0.66700000000000004</v>
      </c>
      <c r="AD80" s="28">
        <v>3</v>
      </c>
      <c r="AE80" s="28">
        <v>12</v>
      </c>
      <c r="AF80" s="28">
        <v>15</v>
      </c>
      <c r="AG80" s="28">
        <v>13</v>
      </c>
      <c r="AH80" s="28">
        <v>2</v>
      </c>
      <c r="AI80" s="28">
        <v>1</v>
      </c>
      <c r="AJ80" s="28">
        <v>4</v>
      </c>
      <c r="AK80" s="28">
        <v>0</v>
      </c>
      <c r="AL80" s="28">
        <v>41</v>
      </c>
      <c r="AM80" s="2">
        <v>38.200000000000003</v>
      </c>
      <c r="AN80" s="2">
        <v>1</v>
      </c>
      <c r="AO80" s="16">
        <v>0.59699999999999998</v>
      </c>
      <c r="AP80" s="16">
        <v>0.59099999999999997</v>
      </c>
      <c r="AQ80" s="16">
        <v>8.5999999999999993E-2</v>
      </c>
      <c r="AR80" s="16">
        <v>0.32799999999999996</v>
      </c>
      <c r="AS80" s="16">
        <v>0.21</v>
      </c>
      <c r="AT80" s="16">
        <v>0.57499999999999996</v>
      </c>
      <c r="AU80" s="16">
        <v>2.4E-2</v>
      </c>
      <c r="AV80" s="16">
        <v>2.4E-2</v>
      </c>
      <c r="AW80" s="16">
        <v>0.10400000000000001</v>
      </c>
      <c r="AX80" s="16">
        <v>0.41399999999999998</v>
      </c>
      <c r="AY80" s="19">
        <v>120</v>
      </c>
      <c r="AZ80" s="19">
        <v>115</v>
      </c>
      <c r="BA80" s="17">
        <v>38.200000000000003</v>
      </c>
      <c r="BB80" s="17">
        <v>17.899999999999999</v>
      </c>
    </row>
    <row r="81" spans="2:54" ht="16" x14ac:dyDescent="0.2">
      <c r="B81" s="1">
        <v>68</v>
      </c>
      <c r="C81" s="2">
        <v>743</v>
      </c>
      <c r="D81" s="2">
        <v>80</v>
      </c>
      <c r="E81" s="3">
        <v>45756</v>
      </c>
      <c r="F81" s="2" t="s">
        <v>4</v>
      </c>
      <c r="G81" s="2" t="s">
        <v>3</v>
      </c>
      <c r="H81" s="2" t="s">
        <v>8</v>
      </c>
      <c r="I81" s="2" t="s">
        <v>7</v>
      </c>
      <c r="J81" s="11">
        <f>(_xlfn.TEXTBEFORE(_xlfn.TEXTAFTER($I81,", ",,1),"-",,1,1,))*1</f>
        <v>124</v>
      </c>
      <c r="K81" s="11">
        <f>(_xlfn.TEXTBEFORE(_xlfn.TEXTAFTER($I81,"-",,1)," ",,1,1,))*1</f>
        <v>116</v>
      </c>
      <c r="L81" s="2" t="str">
        <f>LEFT('    #StatsTable'!$I81,1)</f>
        <v>W</v>
      </c>
      <c r="M81" s="2">
        <f>IF('    #StatsTable'!$L81="W", M80+1,M80)</f>
        <v>48</v>
      </c>
      <c r="N81" s="2">
        <f>IF('    #StatsTable'!$L81="L",N80+1,N80)</f>
        <v>32</v>
      </c>
      <c r="O81" s="2" t="s">
        <v>0</v>
      </c>
      <c r="P81" s="4">
        <v>1.5708333333333333</v>
      </c>
      <c r="Q81" s="28">
        <v>5</v>
      </c>
      <c r="R81" s="28">
        <v>12</v>
      </c>
      <c r="S81" s="15">
        <v>0.41699999999999998</v>
      </c>
      <c r="T81" s="28">
        <v>0</v>
      </c>
      <c r="U81" s="28">
        <v>1</v>
      </c>
      <c r="V81" s="15">
        <v>0</v>
      </c>
      <c r="W81" s="28">
        <v>5</v>
      </c>
      <c r="X81" s="28">
        <v>11</v>
      </c>
      <c r="Y81" s="15">
        <v>0.45500000000000002</v>
      </c>
      <c r="Z81" s="15">
        <v>0.41699999999999998</v>
      </c>
      <c r="AA81" s="28">
        <v>10</v>
      </c>
      <c r="AB81" s="28">
        <v>10</v>
      </c>
      <c r="AC81" s="15">
        <v>1</v>
      </c>
      <c r="AD81" s="28">
        <v>3</v>
      </c>
      <c r="AE81" s="28">
        <v>9</v>
      </c>
      <c r="AF81" s="28">
        <v>12</v>
      </c>
      <c r="AG81" s="28">
        <v>11</v>
      </c>
      <c r="AH81" s="28">
        <v>4</v>
      </c>
      <c r="AI81" s="28">
        <v>0</v>
      </c>
      <c r="AJ81" s="28">
        <v>1</v>
      </c>
      <c r="AK81" s="28">
        <v>2</v>
      </c>
      <c r="AL81" s="28">
        <v>20</v>
      </c>
      <c r="AM81" s="2">
        <v>28.3</v>
      </c>
      <c r="AN81" s="2">
        <v>9</v>
      </c>
      <c r="AO81" s="16">
        <v>0.61</v>
      </c>
      <c r="AP81" s="16">
        <v>0.41699999999999998</v>
      </c>
      <c r="AQ81" s="16">
        <v>9.3000000000000013E-2</v>
      </c>
      <c r="AR81" s="16">
        <v>0.26</v>
      </c>
      <c r="AS81" s="16">
        <v>0.18</v>
      </c>
      <c r="AT81" s="16">
        <v>0.38200000000000001</v>
      </c>
      <c r="AU81" s="16">
        <v>5.5E-2</v>
      </c>
      <c r="AV81" s="16">
        <v>0</v>
      </c>
      <c r="AW81" s="16">
        <v>5.7000000000000002E-2</v>
      </c>
      <c r="AX81" s="16">
        <v>0.20800000000000002</v>
      </c>
      <c r="AY81" s="19">
        <v>152</v>
      </c>
      <c r="AZ81" s="19">
        <v>114</v>
      </c>
      <c r="BA81" s="17">
        <v>28.3</v>
      </c>
      <c r="BB81" s="17">
        <v>13.3</v>
      </c>
    </row>
    <row r="82" spans="2:54" ht="16" x14ac:dyDescent="0.2">
      <c r="B82" s="1">
        <v>69</v>
      </c>
      <c r="C82" s="2">
        <v>744</v>
      </c>
      <c r="D82" s="2">
        <v>81</v>
      </c>
      <c r="E82" s="3">
        <v>45758</v>
      </c>
      <c r="F82" s="2" t="s">
        <v>4</v>
      </c>
      <c r="G82" s="2"/>
      <c r="H82" s="2" t="s">
        <v>6</v>
      </c>
      <c r="I82" s="2" t="s">
        <v>5</v>
      </c>
      <c r="J82" s="11">
        <f>(_xlfn.TEXTBEFORE(_xlfn.TEXTAFTER($I82,", ",,1),"-",,1,1,))*1</f>
        <v>117</v>
      </c>
      <c r="K82" s="11">
        <f>(_xlfn.TEXTBEFORE(_xlfn.TEXTAFTER($I82,"-",,1)," ",,1,1,))*1</f>
        <v>109</v>
      </c>
      <c r="L82" s="2" t="str">
        <f>LEFT('    #StatsTable'!$I82,1)</f>
        <v>W</v>
      </c>
      <c r="M82" s="2">
        <f>IF('    #StatsTable'!$L82="W", M81+1,M81)</f>
        <v>49</v>
      </c>
      <c r="N82" s="2">
        <f>IF('    #StatsTable'!$L82="L",N81+1,N81)</f>
        <v>32</v>
      </c>
      <c r="O82" s="2" t="s">
        <v>0</v>
      </c>
      <c r="P82" s="4">
        <v>1.7048611111111112</v>
      </c>
      <c r="Q82" s="28">
        <v>11</v>
      </c>
      <c r="R82" s="28">
        <v>19</v>
      </c>
      <c r="S82" s="15">
        <v>0.57899999999999996</v>
      </c>
      <c r="T82" s="28">
        <v>1</v>
      </c>
      <c r="U82" s="28">
        <v>2</v>
      </c>
      <c r="V82" s="15">
        <v>0.5</v>
      </c>
      <c r="W82" s="28">
        <v>10</v>
      </c>
      <c r="X82" s="28">
        <v>17</v>
      </c>
      <c r="Y82" s="15">
        <v>0.58799999999999997</v>
      </c>
      <c r="Z82" s="15">
        <v>0.60499999999999998</v>
      </c>
      <c r="AA82" s="28">
        <v>3</v>
      </c>
      <c r="AB82" s="28">
        <v>7</v>
      </c>
      <c r="AC82" s="15">
        <v>0.42899999999999999</v>
      </c>
      <c r="AD82" s="28">
        <v>3</v>
      </c>
      <c r="AE82" s="28">
        <v>13</v>
      </c>
      <c r="AF82" s="28">
        <v>16</v>
      </c>
      <c r="AG82" s="28">
        <v>13</v>
      </c>
      <c r="AH82" s="28">
        <v>2</v>
      </c>
      <c r="AI82" s="28">
        <v>0</v>
      </c>
      <c r="AJ82" s="28">
        <v>5</v>
      </c>
      <c r="AK82" s="28">
        <v>3</v>
      </c>
      <c r="AL82" s="28">
        <v>26</v>
      </c>
      <c r="AM82" s="2">
        <v>26.4</v>
      </c>
      <c r="AN82" s="2">
        <v>11</v>
      </c>
      <c r="AO82" s="16">
        <v>0.58899999999999997</v>
      </c>
      <c r="AP82" s="16">
        <v>0.60499999999999998</v>
      </c>
      <c r="AQ82" s="16">
        <v>7.8E-2</v>
      </c>
      <c r="AR82" s="16">
        <v>0.318</v>
      </c>
      <c r="AS82" s="16">
        <v>0.20199999999999999</v>
      </c>
      <c r="AT82" s="16">
        <v>0.49</v>
      </c>
      <c r="AU82" s="16">
        <v>2.3E-2</v>
      </c>
      <c r="AV82" s="16">
        <v>0</v>
      </c>
      <c r="AW82" s="16">
        <v>0.185</v>
      </c>
      <c r="AX82" s="16">
        <v>0.27</v>
      </c>
      <c r="AY82" s="19">
        <v>112</v>
      </c>
      <c r="AZ82" s="19">
        <v>102</v>
      </c>
      <c r="BA82" s="17">
        <v>26.4</v>
      </c>
      <c r="BB82" s="17">
        <v>11</v>
      </c>
    </row>
    <row r="83" spans="2:54" ht="16" x14ac:dyDescent="0.2">
      <c r="B83" s="1">
        <v>70</v>
      </c>
      <c r="C83" s="2">
        <v>745</v>
      </c>
      <c r="D83" s="2">
        <v>82</v>
      </c>
      <c r="E83" s="3">
        <v>45760</v>
      </c>
      <c r="F83" s="2" t="s">
        <v>4</v>
      </c>
      <c r="G83" s="2" t="s">
        <v>3</v>
      </c>
      <c r="H83" s="2" t="s">
        <v>2</v>
      </c>
      <c r="I83" s="2" t="s">
        <v>1</v>
      </c>
      <c r="J83" s="11">
        <f>(_xlfn.TEXTBEFORE(_xlfn.TEXTAFTER($I83,", ",,1),"-",,1,1,))*1</f>
        <v>126</v>
      </c>
      <c r="K83" s="11">
        <f>(_xlfn.TEXTBEFORE(_xlfn.TEXTAFTER($I83,"-",,1)," ",,1,1,))*1</f>
        <v>111</v>
      </c>
      <c r="L83" s="2" t="str">
        <f>LEFT('    #StatsTable'!$I83,1)</f>
        <v>W</v>
      </c>
      <c r="M83" s="2">
        <f>IF('    #StatsTable'!$L83="W", M82+1,M82)</f>
        <v>50</v>
      </c>
      <c r="N83" s="2">
        <f>IF('    #StatsTable'!$L83="L",N82+1,N82)</f>
        <v>32</v>
      </c>
      <c r="O83" s="2" t="s">
        <v>0</v>
      </c>
      <c r="P83" s="4">
        <v>1.2826388888888889</v>
      </c>
      <c r="Q83" s="28">
        <v>7</v>
      </c>
      <c r="R83" s="28">
        <v>10</v>
      </c>
      <c r="S83" s="15">
        <v>0.7</v>
      </c>
      <c r="T83" s="28">
        <v>3</v>
      </c>
      <c r="U83" s="28">
        <v>5</v>
      </c>
      <c r="V83" s="15">
        <v>0.6</v>
      </c>
      <c r="W83" s="28">
        <v>4</v>
      </c>
      <c r="X83" s="28">
        <v>5</v>
      </c>
      <c r="Y83" s="15">
        <v>0.8</v>
      </c>
      <c r="Z83" s="15">
        <v>0.85</v>
      </c>
      <c r="AA83" s="28">
        <v>1</v>
      </c>
      <c r="AB83" s="28">
        <v>2</v>
      </c>
      <c r="AC83" s="15">
        <v>0.5</v>
      </c>
      <c r="AD83" s="28">
        <v>1</v>
      </c>
      <c r="AE83" s="28">
        <v>6</v>
      </c>
      <c r="AF83" s="28">
        <v>7</v>
      </c>
      <c r="AG83" s="28">
        <v>7</v>
      </c>
      <c r="AH83" s="28">
        <v>2</v>
      </c>
      <c r="AI83" s="28">
        <v>1</v>
      </c>
      <c r="AJ83" s="28">
        <v>1</v>
      </c>
      <c r="AK83" s="28">
        <v>3</v>
      </c>
      <c r="AL83" s="28">
        <v>18</v>
      </c>
      <c r="AM83" s="2">
        <v>21.3</v>
      </c>
      <c r="AN83" s="2">
        <v>34</v>
      </c>
      <c r="AO83" s="16">
        <v>0.82699999999999996</v>
      </c>
      <c r="AP83" s="16">
        <v>0.85</v>
      </c>
      <c r="AQ83" s="16">
        <v>3.9E-2</v>
      </c>
      <c r="AR83" s="16">
        <v>0.18</v>
      </c>
      <c r="AS83" s="16">
        <v>0.11900000000000001</v>
      </c>
      <c r="AT83" s="16">
        <v>0.32</v>
      </c>
      <c r="AU83" s="16">
        <v>3.2000000000000001E-2</v>
      </c>
      <c r="AV83" s="16">
        <v>2.4E-2</v>
      </c>
      <c r="AW83" s="16">
        <v>8.4000000000000005E-2</v>
      </c>
      <c r="AX83" s="16">
        <v>0.16699999999999998</v>
      </c>
      <c r="AY83" s="19">
        <v>161</v>
      </c>
      <c r="AZ83" s="19">
        <v>108</v>
      </c>
      <c r="BA83" s="17">
        <v>21.3</v>
      </c>
      <c r="BB83" s="17">
        <v>15.5</v>
      </c>
    </row>
    <row r="84" spans="2:54" x14ac:dyDescent="0.2">
      <c r="B84" s="1"/>
      <c r="C84" s="2"/>
      <c r="D84" s="2"/>
      <c r="E84" s="3"/>
      <c r="F84" s="2"/>
      <c r="G84" s="2"/>
      <c r="H84" s="2"/>
      <c r="I84" s="2"/>
      <c r="J84" s="2"/>
      <c r="K84" s="2"/>
      <c r="L84" s="2"/>
      <c r="M84" s="2"/>
      <c r="N84" s="2"/>
      <c r="O84" s="2"/>
      <c r="P84" s="4"/>
      <c r="Q84" s="28"/>
      <c r="R84" s="28"/>
      <c r="S84" s="15"/>
      <c r="T84" s="28"/>
      <c r="U84" s="28"/>
      <c r="V84" s="15"/>
      <c r="W84" s="28"/>
      <c r="X84" s="28"/>
      <c r="Y84" s="15"/>
      <c r="Z84" s="15"/>
      <c r="AA84" s="28"/>
      <c r="AB84" s="28"/>
      <c r="AC84" s="15"/>
      <c r="AD84" s="28"/>
      <c r="AE84" s="28"/>
      <c r="AF84" s="28"/>
      <c r="AG84" s="28"/>
      <c r="AH84" s="28"/>
      <c r="AI84" s="28"/>
      <c r="AJ84" s="28"/>
      <c r="AK84" s="28"/>
      <c r="AL84" s="28"/>
      <c r="AM84" s="2"/>
      <c r="AN84" s="2"/>
      <c r="AO84" s="16"/>
      <c r="AP84" s="16"/>
      <c r="AQ84" s="16"/>
      <c r="AR84" s="16"/>
      <c r="AS84" s="16"/>
      <c r="AT84" s="16"/>
      <c r="AU84" s="16"/>
      <c r="AV84" s="16"/>
      <c r="AW84" s="16"/>
      <c r="AX84" s="16"/>
      <c r="AY84" s="19"/>
      <c r="AZ84" s="19"/>
      <c r="BA84" s="17"/>
      <c r="BB84" s="17"/>
    </row>
    <row r="85" spans="2:54" s="12" customFormat="1" ht="16" x14ac:dyDescent="0.2">
      <c r="B85" s="1" t="s">
        <v>199</v>
      </c>
      <c r="C85" s="31"/>
      <c r="D85" s="31"/>
      <c r="E85" s="32"/>
      <c r="F85" s="31"/>
      <c r="G85" s="31"/>
      <c r="H85" s="31"/>
      <c r="I85" s="31"/>
      <c r="J85" s="34">
        <f t="shared" ref="J85:O85" si="0">SUM(J2:J83)</f>
        <v>9902</v>
      </c>
      <c r="K85" s="34">
        <f t="shared" si="0"/>
        <v>9583</v>
      </c>
      <c r="L85" s="34">
        <f t="shared" si="0"/>
        <v>0</v>
      </c>
      <c r="M85" s="34">
        <f t="shared" si="0"/>
        <v>2094</v>
      </c>
      <c r="N85" s="34">
        <f t="shared" si="0"/>
        <v>1309</v>
      </c>
      <c r="O85" s="34">
        <f t="shared" si="0"/>
        <v>0</v>
      </c>
      <c r="P85" s="33">
        <f>SUM(P2:P83)</f>
        <v>107.12083333333334</v>
      </c>
      <c r="Q85" s="34">
        <f>SUM(Q2:Q83)</f>
        <v>786</v>
      </c>
      <c r="R85" s="34">
        <f t="shared" ref="R85:AN85" si="1">SUM(R2:R83)</f>
        <v>1364</v>
      </c>
      <c r="S85" s="34">
        <f t="shared" si="1"/>
        <v>40.940000000000019</v>
      </c>
      <c r="T85" s="34">
        <f t="shared" si="1"/>
        <v>138</v>
      </c>
      <c r="U85" s="34">
        <f t="shared" si="1"/>
        <v>331</v>
      </c>
      <c r="V85" s="34">
        <f t="shared" si="1"/>
        <v>29.988000000000007</v>
      </c>
      <c r="W85" s="34">
        <f t="shared" si="1"/>
        <v>648</v>
      </c>
      <c r="X85" s="34">
        <f t="shared" si="1"/>
        <v>1033</v>
      </c>
      <c r="Y85" s="34">
        <f t="shared" si="1"/>
        <v>44.410999999999994</v>
      </c>
      <c r="Z85" s="34">
        <f t="shared" si="1"/>
        <v>44.45</v>
      </c>
      <c r="AA85" s="34">
        <f t="shared" si="1"/>
        <v>361</v>
      </c>
      <c r="AB85" s="34">
        <f t="shared" si="1"/>
        <v>451</v>
      </c>
      <c r="AC85" s="34">
        <f t="shared" si="1"/>
        <v>53.337999999999994</v>
      </c>
      <c r="AD85" s="34">
        <f t="shared" si="1"/>
        <v>200</v>
      </c>
      <c r="AE85" s="34">
        <f t="shared" si="1"/>
        <v>692</v>
      </c>
      <c r="AF85" s="34">
        <f t="shared" si="1"/>
        <v>892</v>
      </c>
      <c r="AG85" s="34">
        <f t="shared" si="1"/>
        <v>716</v>
      </c>
      <c r="AH85" s="34">
        <f t="shared" si="1"/>
        <v>127</v>
      </c>
      <c r="AI85" s="34">
        <f t="shared" si="1"/>
        <v>45</v>
      </c>
      <c r="AJ85" s="34">
        <f t="shared" si="1"/>
        <v>230</v>
      </c>
      <c r="AK85" s="34">
        <f t="shared" si="1"/>
        <v>160</v>
      </c>
      <c r="AL85" s="34">
        <f t="shared" si="1"/>
        <v>2071</v>
      </c>
      <c r="AM85" s="31">
        <f t="shared" si="1"/>
        <v>2107.900000000001</v>
      </c>
      <c r="AN85" s="31">
        <f t="shared" si="1"/>
        <v>594</v>
      </c>
      <c r="AO85" s="35"/>
      <c r="AP85" s="35"/>
      <c r="AQ85" s="35"/>
      <c r="AR85" s="35"/>
      <c r="AS85" s="35"/>
      <c r="AT85" s="35"/>
      <c r="AU85" s="35"/>
      <c r="AV85" s="35"/>
      <c r="AW85" s="35"/>
      <c r="AX85" s="35"/>
      <c r="AY85" s="36"/>
      <c r="AZ85" s="36"/>
      <c r="BA85" s="37"/>
      <c r="BB85" s="37"/>
    </row>
    <row r="86" spans="2:54" x14ac:dyDescent="0.2">
      <c r="B86" s="1"/>
      <c r="C86" s="2"/>
      <c r="D86" s="2"/>
      <c r="E86" s="3"/>
      <c r="F86" s="2"/>
      <c r="G86" s="2"/>
      <c r="H86" s="2"/>
      <c r="I86" s="2"/>
      <c r="J86" s="2"/>
      <c r="K86" s="2"/>
      <c r="L86" s="2"/>
      <c r="M86" s="2"/>
      <c r="N86" s="2"/>
      <c r="O86" s="2"/>
      <c r="P86" s="4"/>
      <c r="Q86" s="28"/>
      <c r="R86" s="28"/>
      <c r="S86" s="15"/>
      <c r="T86" s="28"/>
      <c r="U86" s="28"/>
      <c r="V86" s="15"/>
      <c r="W86" s="28"/>
      <c r="X86" s="28"/>
      <c r="Y86" s="15"/>
      <c r="Z86" s="15"/>
      <c r="AA86" s="28"/>
      <c r="AB86" s="28"/>
      <c r="AC86" s="15"/>
      <c r="AD86" s="28"/>
      <c r="AE86" s="28"/>
      <c r="AF86" s="28"/>
      <c r="AG86" s="28"/>
      <c r="AH86" s="28"/>
      <c r="AI86" s="28"/>
      <c r="AJ86" s="28"/>
      <c r="AK86" s="28"/>
      <c r="AL86" s="28"/>
      <c r="AM86" s="2"/>
      <c r="AN86" s="2"/>
      <c r="AO86" s="16"/>
      <c r="AP86" s="16"/>
      <c r="AQ86" s="16"/>
      <c r="AR86" s="16"/>
      <c r="AS86" s="16"/>
      <c r="AT86" s="16"/>
      <c r="AU86" s="16"/>
      <c r="AV86" s="16"/>
      <c r="AW86" s="16"/>
      <c r="AX86" s="16"/>
      <c r="AY86" s="19"/>
      <c r="AZ86" s="19"/>
      <c r="BA86" s="17"/>
      <c r="BB86" s="17"/>
    </row>
    <row r="87" spans="2:54" x14ac:dyDescent="0.2">
      <c r="B87" s="47" t="s">
        <v>211</v>
      </c>
      <c r="C87" s="48"/>
      <c r="D87" s="48"/>
      <c r="E87" s="48"/>
      <c r="F87" s="48"/>
      <c r="G87" s="48"/>
      <c r="H87" s="48"/>
      <c r="I87" s="48"/>
      <c r="J87" s="48"/>
      <c r="K87" s="48"/>
      <c r="L87" s="48"/>
      <c r="M87" s="48"/>
      <c r="N87" s="48"/>
      <c r="O87" s="48"/>
      <c r="P87" s="48"/>
      <c r="Q87" s="49"/>
      <c r="R87" s="49"/>
      <c r="S87" s="50"/>
      <c r="T87" s="49"/>
      <c r="U87" s="49"/>
      <c r="V87" s="50"/>
      <c r="W87" s="49"/>
      <c r="X87" s="49"/>
      <c r="Y87" s="50"/>
      <c r="Z87" s="50"/>
      <c r="AA87" s="49"/>
      <c r="AB87" s="49"/>
      <c r="AC87" s="50"/>
      <c r="AD87" s="49"/>
      <c r="AE87" s="49"/>
      <c r="AF87" s="49"/>
      <c r="AG87" s="49"/>
      <c r="AH87" s="49"/>
      <c r="AI87" s="49"/>
      <c r="AJ87" s="49"/>
      <c r="AK87" s="49"/>
      <c r="AL87" s="49"/>
      <c r="AM87" s="48"/>
      <c r="AN87" s="48"/>
      <c r="AO87" s="51"/>
      <c r="AP87" s="51"/>
      <c r="AQ87" s="51"/>
      <c r="AR87" s="51"/>
      <c r="AS87" s="51"/>
      <c r="AT87" s="51"/>
      <c r="AU87" s="51"/>
      <c r="AV87" s="51"/>
      <c r="AW87" s="51"/>
      <c r="AX87" s="51"/>
      <c r="AY87" s="52"/>
      <c r="AZ87" s="52"/>
      <c r="BA87" s="53"/>
      <c r="BB87" s="54"/>
    </row>
    <row r="88" spans="2:54" x14ac:dyDescent="0.2">
      <c r="B88" s="20" t="s">
        <v>165</v>
      </c>
      <c r="P88" s="4">
        <f>MAX('    #StatsTable'!$P$2:$P$83)</f>
        <v>2.1930555555555555</v>
      </c>
      <c r="Q88" s="13">
        <f>MAX(Q2:Q83)</f>
        <v>22</v>
      </c>
      <c r="R88" s="13">
        <f t="shared" ref="R88:BB88" si="2">MAX(R2:R83)</f>
        <v>39</v>
      </c>
      <c r="S88" s="14">
        <f t="shared" si="2"/>
        <v>0.84599999999999997</v>
      </c>
      <c r="T88" s="13">
        <f t="shared" si="2"/>
        <v>7</v>
      </c>
      <c r="U88" s="13">
        <f t="shared" si="2"/>
        <v>14</v>
      </c>
      <c r="V88" s="14">
        <f t="shared" si="2"/>
        <v>1</v>
      </c>
      <c r="W88" s="13">
        <f t="shared" si="2"/>
        <v>19</v>
      </c>
      <c r="X88" s="13">
        <f t="shared" si="2"/>
        <v>33</v>
      </c>
      <c r="Y88" s="14">
        <f t="shared" si="2"/>
        <v>0.90900000000000003</v>
      </c>
      <c r="Z88" s="14">
        <f t="shared" si="2"/>
        <v>0.88500000000000001</v>
      </c>
      <c r="AA88" s="13">
        <f t="shared" si="2"/>
        <v>19</v>
      </c>
      <c r="AB88" s="13">
        <f t="shared" si="2"/>
        <v>24</v>
      </c>
      <c r="AC88" s="14">
        <f t="shared" si="2"/>
        <v>1</v>
      </c>
      <c r="AD88" s="13">
        <f t="shared" si="2"/>
        <v>8</v>
      </c>
      <c r="AE88" s="13">
        <f t="shared" si="2"/>
        <v>19</v>
      </c>
      <c r="AF88" s="13">
        <f t="shared" si="2"/>
        <v>22</v>
      </c>
      <c r="AG88" s="13">
        <f t="shared" si="2"/>
        <v>22</v>
      </c>
      <c r="AH88" s="13">
        <f t="shared" si="2"/>
        <v>5</v>
      </c>
      <c r="AI88" s="13">
        <f t="shared" si="2"/>
        <v>3</v>
      </c>
      <c r="AJ88" s="13">
        <f t="shared" si="2"/>
        <v>7</v>
      </c>
      <c r="AK88" s="13">
        <f t="shared" si="2"/>
        <v>5</v>
      </c>
      <c r="AL88" s="13">
        <f t="shared" si="2"/>
        <v>61</v>
      </c>
      <c r="AM88" s="13">
        <f t="shared" si="2"/>
        <v>52.7</v>
      </c>
      <c r="AN88" s="13">
        <f t="shared" si="2"/>
        <v>39</v>
      </c>
      <c r="AO88" s="14">
        <f t="shared" si="2"/>
        <v>0.93300000000000005</v>
      </c>
      <c r="AP88" s="14">
        <f t="shared" si="2"/>
        <v>0.88500000000000001</v>
      </c>
      <c r="AQ88" s="14">
        <f t="shared" si="2"/>
        <v>0.255</v>
      </c>
      <c r="AR88" s="14">
        <f t="shared" si="2"/>
        <v>0.54200000000000004</v>
      </c>
      <c r="AS88" s="14">
        <f t="shared" si="2"/>
        <v>0.32200000000000001</v>
      </c>
      <c r="AT88" s="14">
        <f t="shared" si="2"/>
        <v>0.76500000000000001</v>
      </c>
      <c r="AU88" s="14">
        <f t="shared" si="2"/>
        <v>6.6000000000000003E-2</v>
      </c>
      <c r="AV88" s="14">
        <f t="shared" si="2"/>
        <v>7.8E-2</v>
      </c>
      <c r="AW88" s="14">
        <f t="shared" si="2"/>
        <v>0.34499999999999997</v>
      </c>
      <c r="AX88" s="14">
        <f t="shared" si="2"/>
        <v>0.50700000000000001</v>
      </c>
      <c r="AY88" s="13">
        <f t="shared" si="2"/>
        <v>176</v>
      </c>
      <c r="AZ88" s="13">
        <f t="shared" si="2"/>
        <v>144</v>
      </c>
      <c r="BA88" s="18">
        <f t="shared" si="2"/>
        <v>52.7</v>
      </c>
      <c r="BB88" s="29">
        <f t="shared" si="2"/>
        <v>29</v>
      </c>
    </row>
    <row r="89" spans="2:54" x14ac:dyDescent="0.2">
      <c r="B89" s="20" t="s">
        <v>166</v>
      </c>
      <c r="P89" s="4">
        <f>MIN('    #StatsTable'!$P$2:$P$83)</f>
        <v>1.1930555555555555</v>
      </c>
      <c r="Q89" s="13">
        <f>MIN(Q2:Q83)</f>
        <v>2</v>
      </c>
      <c r="R89" s="13">
        <f t="shared" ref="R89:BB89" si="3">MIN(R2:R83)</f>
        <v>7</v>
      </c>
      <c r="S89" s="14">
        <f t="shared" si="3"/>
        <v>0.28599999999999998</v>
      </c>
      <c r="T89" s="13">
        <f t="shared" si="3"/>
        <v>0</v>
      </c>
      <c r="U89" s="13">
        <f t="shared" si="3"/>
        <v>0</v>
      </c>
      <c r="V89" s="14">
        <f t="shared" si="3"/>
        <v>0</v>
      </c>
      <c r="W89" s="13">
        <f t="shared" si="3"/>
        <v>2</v>
      </c>
      <c r="X89" s="13">
        <f t="shared" si="3"/>
        <v>5</v>
      </c>
      <c r="Y89" s="14">
        <f t="shared" si="3"/>
        <v>0.33300000000000002</v>
      </c>
      <c r="Z89" s="14">
        <f t="shared" si="3"/>
        <v>0.28599999999999998</v>
      </c>
      <c r="AA89" s="13">
        <f t="shared" si="3"/>
        <v>0</v>
      </c>
      <c r="AB89" s="13">
        <f t="shared" si="3"/>
        <v>0</v>
      </c>
      <c r="AC89" s="14">
        <f t="shared" si="3"/>
        <v>0</v>
      </c>
      <c r="AD89" s="13">
        <f t="shared" si="3"/>
        <v>0</v>
      </c>
      <c r="AE89" s="13">
        <f t="shared" si="3"/>
        <v>2</v>
      </c>
      <c r="AF89" s="13">
        <f t="shared" si="3"/>
        <v>2</v>
      </c>
      <c r="AG89" s="13">
        <f t="shared" si="3"/>
        <v>2</v>
      </c>
      <c r="AH89" s="13">
        <f t="shared" si="3"/>
        <v>0</v>
      </c>
      <c r="AI89" s="13">
        <f t="shared" si="3"/>
        <v>0</v>
      </c>
      <c r="AJ89" s="13">
        <f t="shared" si="3"/>
        <v>0</v>
      </c>
      <c r="AK89" s="13">
        <f t="shared" si="3"/>
        <v>0</v>
      </c>
      <c r="AL89" s="13">
        <f t="shared" si="3"/>
        <v>10</v>
      </c>
      <c r="AM89" s="13">
        <f t="shared" si="3"/>
        <v>11</v>
      </c>
      <c r="AN89" s="13">
        <f t="shared" si="3"/>
        <v>-24</v>
      </c>
      <c r="AO89" s="14">
        <f t="shared" si="3"/>
        <v>0.46800000000000003</v>
      </c>
      <c r="AP89" s="14">
        <f t="shared" si="3"/>
        <v>0.28599999999999998</v>
      </c>
      <c r="AQ89" s="14">
        <f t="shared" si="3"/>
        <v>0</v>
      </c>
      <c r="AR89" s="14">
        <f t="shared" si="3"/>
        <v>7.2999999999999995E-2</v>
      </c>
      <c r="AS89" s="14">
        <f t="shared" si="3"/>
        <v>3.7999999999999999E-2</v>
      </c>
      <c r="AT89" s="14">
        <f t="shared" si="3"/>
        <v>9.9000000000000005E-2</v>
      </c>
      <c r="AU89" s="14">
        <f t="shared" si="3"/>
        <v>0</v>
      </c>
      <c r="AV89" s="14">
        <f t="shared" si="3"/>
        <v>0</v>
      </c>
      <c r="AW89" s="14">
        <f t="shared" si="3"/>
        <v>0</v>
      </c>
      <c r="AX89" s="14">
        <f t="shared" si="3"/>
        <v>0</v>
      </c>
      <c r="AY89" s="13">
        <f t="shared" si="3"/>
        <v>97</v>
      </c>
      <c r="AZ89" s="13">
        <f t="shared" si="3"/>
        <v>80</v>
      </c>
      <c r="BA89" s="18">
        <f t="shared" si="3"/>
        <v>11</v>
      </c>
      <c r="BB89" s="29">
        <f t="shared" si="3"/>
        <v>-3.6</v>
      </c>
    </row>
    <row r="90" spans="2:54" x14ac:dyDescent="0.2">
      <c r="B90" s="20" t="s">
        <v>168</v>
      </c>
      <c r="P90" s="4">
        <f>AVERAGE('    #StatsTable'!$P$2:$P$83)</f>
        <v>1.5302976190476192</v>
      </c>
      <c r="Q90" s="13">
        <f>AVERAGE(Q2:Q83)</f>
        <v>11.228571428571428</v>
      </c>
      <c r="R90" s="13">
        <f t="shared" ref="R90:BB90" si="4">AVERAGE(R2:R83)</f>
        <v>19.485714285714284</v>
      </c>
      <c r="S90" s="14">
        <f t="shared" si="4"/>
        <v>0.58485714285714308</v>
      </c>
      <c r="T90" s="13">
        <f t="shared" si="4"/>
        <v>1.9714285714285715</v>
      </c>
      <c r="U90" s="13">
        <f t="shared" si="4"/>
        <v>4.7285714285714286</v>
      </c>
      <c r="V90" s="14">
        <f t="shared" si="4"/>
        <v>0.44100000000000011</v>
      </c>
      <c r="W90" s="13">
        <f t="shared" si="4"/>
        <v>9.257142857142858</v>
      </c>
      <c r="X90" s="13">
        <f t="shared" si="4"/>
        <v>14.757142857142858</v>
      </c>
      <c r="Y90" s="14">
        <f t="shared" si="4"/>
        <v>0.63444285714285709</v>
      </c>
      <c r="Z90" s="14">
        <f t="shared" si="4"/>
        <v>0.63500000000000001</v>
      </c>
      <c r="AA90" s="13">
        <f t="shared" si="4"/>
        <v>5.1571428571428575</v>
      </c>
      <c r="AB90" s="13">
        <f t="shared" si="4"/>
        <v>6.4428571428571431</v>
      </c>
      <c r="AC90" s="14">
        <f t="shared" si="4"/>
        <v>0.78438235294117642</v>
      </c>
      <c r="AD90" s="13">
        <f t="shared" si="4"/>
        <v>2.8571428571428572</v>
      </c>
      <c r="AE90" s="13">
        <f t="shared" si="4"/>
        <v>9.8857142857142861</v>
      </c>
      <c r="AF90" s="13">
        <f t="shared" si="4"/>
        <v>12.742857142857142</v>
      </c>
      <c r="AG90" s="13">
        <f t="shared" si="4"/>
        <v>10.228571428571428</v>
      </c>
      <c r="AH90" s="13">
        <f t="shared" si="4"/>
        <v>1.8142857142857143</v>
      </c>
      <c r="AI90" s="13">
        <f t="shared" si="4"/>
        <v>0.6428571428571429</v>
      </c>
      <c r="AJ90" s="13">
        <f t="shared" si="4"/>
        <v>3.2857142857142856</v>
      </c>
      <c r="AK90" s="13">
        <f t="shared" si="4"/>
        <v>2.2857142857142856</v>
      </c>
      <c r="AL90" s="13">
        <f t="shared" si="4"/>
        <v>29.585714285714285</v>
      </c>
      <c r="AM90" s="13">
        <f t="shared" si="4"/>
        <v>30.112857142857155</v>
      </c>
      <c r="AN90" s="13">
        <f t="shared" si="4"/>
        <v>8.4857142857142858</v>
      </c>
      <c r="AO90" s="14">
        <f t="shared" si="4"/>
        <v>0.67277142857142846</v>
      </c>
      <c r="AP90" s="14">
        <f t="shared" si="4"/>
        <v>0.63500000000000001</v>
      </c>
      <c r="AQ90" s="14">
        <f t="shared" si="4"/>
        <v>8.9757142857142869E-2</v>
      </c>
      <c r="AR90" s="14">
        <f t="shared" si="4"/>
        <v>0.2827285714285715</v>
      </c>
      <c r="AS90" s="14">
        <f t="shared" si="4"/>
        <v>0.19155714285714287</v>
      </c>
      <c r="AT90" s="14">
        <f t="shared" si="4"/>
        <v>0.43271428571428561</v>
      </c>
      <c r="AU90" s="14">
        <f t="shared" si="4"/>
        <v>2.3842857142857138E-2</v>
      </c>
      <c r="AV90" s="14">
        <f t="shared" si="4"/>
        <v>1.4971428571428578E-2</v>
      </c>
      <c r="AW90" s="14">
        <f t="shared" si="4"/>
        <v>0.1326142857142858</v>
      </c>
      <c r="AX90" s="14">
        <f t="shared" si="4"/>
        <v>0.28914084507042259</v>
      </c>
      <c r="AY90" s="13">
        <f t="shared" si="4"/>
        <v>134.84285714285716</v>
      </c>
      <c r="AZ90" s="13">
        <f t="shared" si="4"/>
        <v>110.94285714285714</v>
      </c>
      <c r="BA90" s="18">
        <f t="shared" si="4"/>
        <v>30.112857142857155</v>
      </c>
      <c r="BB90" s="29">
        <f t="shared" si="4"/>
        <v>13.355714285714283</v>
      </c>
    </row>
    <row r="91" spans="2:54" x14ac:dyDescent="0.2">
      <c r="B91" s="20" t="s">
        <v>167</v>
      </c>
      <c r="P91" s="4">
        <f>MEDIAN('    #StatsTable'!$P$2:$P$83)</f>
        <v>1.5625</v>
      </c>
      <c r="Q91" s="13">
        <f>MEDIAN(Q2:Q83)</f>
        <v>11</v>
      </c>
      <c r="R91" s="13">
        <f t="shared" ref="R91:BB91" si="5">MEDIAN(R2:R83)</f>
        <v>19</v>
      </c>
      <c r="S91" s="14">
        <f t="shared" si="5"/>
        <v>0.57499999999999996</v>
      </c>
      <c r="T91" s="13">
        <f t="shared" si="5"/>
        <v>2</v>
      </c>
      <c r="U91" s="13">
        <f t="shared" si="5"/>
        <v>4</v>
      </c>
      <c r="V91" s="14">
        <f t="shared" si="5"/>
        <v>0.46450000000000002</v>
      </c>
      <c r="W91" s="13">
        <f t="shared" si="5"/>
        <v>9</v>
      </c>
      <c r="X91" s="13">
        <f t="shared" si="5"/>
        <v>14</v>
      </c>
      <c r="Y91" s="14">
        <f t="shared" si="5"/>
        <v>0.63600000000000001</v>
      </c>
      <c r="Z91" s="14">
        <f t="shared" si="5"/>
        <v>0.63700000000000001</v>
      </c>
      <c r="AA91" s="13">
        <f t="shared" si="5"/>
        <v>4</v>
      </c>
      <c r="AB91" s="13">
        <f t="shared" si="5"/>
        <v>6</v>
      </c>
      <c r="AC91" s="14">
        <f t="shared" si="5"/>
        <v>0.8</v>
      </c>
      <c r="AD91" s="13">
        <f t="shared" si="5"/>
        <v>3</v>
      </c>
      <c r="AE91" s="13">
        <f t="shared" si="5"/>
        <v>10</v>
      </c>
      <c r="AF91" s="13">
        <f t="shared" si="5"/>
        <v>13</v>
      </c>
      <c r="AG91" s="13">
        <f t="shared" si="5"/>
        <v>10</v>
      </c>
      <c r="AH91" s="13">
        <f t="shared" si="5"/>
        <v>2</v>
      </c>
      <c r="AI91" s="13">
        <f t="shared" si="5"/>
        <v>0</v>
      </c>
      <c r="AJ91" s="13">
        <f t="shared" si="5"/>
        <v>3</v>
      </c>
      <c r="AK91" s="13">
        <f t="shared" si="5"/>
        <v>2</v>
      </c>
      <c r="AL91" s="13">
        <f t="shared" si="5"/>
        <v>28</v>
      </c>
      <c r="AM91" s="13">
        <f t="shared" si="5"/>
        <v>30.05</v>
      </c>
      <c r="AN91" s="13">
        <f t="shared" si="5"/>
        <v>7.5</v>
      </c>
      <c r="AO91" s="14">
        <f t="shared" si="5"/>
        <v>0.66549999999999998</v>
      </c>
      <c r="AP91" s="14">
        <f t="shared" si="5"/>
        <v>0.63700000000000001</v>
      </c>
      <c r="AQ91" s="14">
        <f t="shared" si="5"/>
        <v>8.2000000000000003E-2</v>
      </c>
      <c r="AR91" s="14">
        <f t="shared" si="5"/>
        <v>0.28100000000000003</v>
      </c>
      <c r="AS91" s="14">
        <f t="shared" si="5"/>
        <v>0.19400000000000001</v>
      </c>
      <c r="AT91" s="14">
        <f t="shared" si="5"/>
        <v>0.42249999999999999</v>
      </c>
      <c r="AU91" s="14">
        <f t="shared" si="5"/>
        <v>2.3E-2</v>
      </c>
      <c r="AV91" s="14">
        <f t="shared" si="5"/>
        <v>0</v>
      </c>
      <c r="AW91" s="14">
        <f t="shared" si="5"/>
        <v>0.11850000000000001</v>
      </c>
      <c r="AX91" s="14">
        <f t="shared" si="5"/>
        <v>0.28300000000000003</v>
      </c>
      <c r="AY91" s="13">
        <f t="shared" si="5"/>
        <v>134</v>
      </c>
      <c r="AZ91" s="13">
        <f t="shared" si="5"/>
        <v>112</v>
      </c>
      <c r="BA91" s="18">
        <f t="shared" si="5"/>
        <v>30.05</v>
      </c>
      <c r="BB91" s="29">
        <f t="shared" si="5"/>
        <v>13.85</v>
      </c>
    </row>
    <row r="92" spans="2:54" x14ac:dyDescent="0.2">
      <c r="B92" s="21" t="s">
        <v>169</v>
      </c>
      <c r="C92" s="22"/>
      <c r="D92" s="22"/>
      <c r="E92" s="22"/>
      <c r="F92" s="22"/>
      <c r="G92" s="22"/>
      <c r="H92" s="22"/>
      <c r="I92" s="22"/>
      <c r="J92" s="22"/>
      <c r="K92" s="22"/>
      <c r="L92" s="22"/>
      <c r="M92" s="22"/>
      <c r="N92" s="22"/>
      <c r="O92" s="22"/>
      <c r="P92" s="23">
        <f>MODE('    #StatsTable'!$P$2:$P$83)</f>
        <v>1.5256944444444445</v>
      </c>
      <c r="Q92" s="24">
        <f>MODE(Q2:Q83)</f>
        <v>9</v>
      </c>
      <c r="R92" s="24">
        <f t="shared" ref="R92:BB92" si="6">MODE(R2:R83)</f>
        <v>16</v>
      </c>
      <c r="S92" s="25">
        <f t="shared" si="6"/>
        <v>0.5</v>
      </c>
      <c r="T92" s="24">
        <f t="shared" si="6"/>
        <v>2</v>
      </c>
      <c r="U92" s="24">
        <f t="shared" si="6"/>
        <v>3</v>
      </c>
      <c r="V92" s="25">
        <f t="shared" si="6"/>
        <v>0.5</v>
      </c>
      <c r="W92" s="24">
        <f t="shared" si="6"/>
        <v>7</v>
      </c>
      <c r="X92" s="24">
        <f t="shared" si="6"/>
        <v>13</v>
      </c>
      <c r="Y92" s="25">
        <f t="shared" si="6"/>
        <v>0.66700000000000004</v>
      </c>
      <c r="Z92" s="25">
        <f t="shared" si="6"/>
        <v>0.5</v>
      </c>
      <c r="AA92" s="24">
        <f t="shared" si="6"/>
        <v>4</v>
      </c>
      <c r="AB92" s="24">
        <f t="shared" si="6"/>
        <v>4</v>
      </c>
      <c r="AC92" s="25">
        <f t="shared" si="6"/>
        <v>1</v>
      </c>
      <c r="AD92" s="24">
        <f t="shared" si="6"/>
        <v>3</v>
      </c>
      <c r="AE92" s="24">
        <f t="shared" si="6"/>
        <v>11</v>
      </c>
      <c r="AF92" s="24">
        <f t="shared" si="6"/>
        <v>14</v>
      </c>
      <c r="AG92" s="24">
        <f t="shared" si="6"/>
        <v>10</v>
      </c>
      <c r="AH92" s="24">
        <f t="shared" si="6"/>
        <v>1</v>
      </c>
      <c r="AI92" s="24">
        <f t="shared" si="6"/>
        <v>0</v>
      </c>
      <c r="AJ92" s="24">
        <f t="shared" si="6"/>
        <v>2</v>
      </c>
      <c r="AK92" s="24">
        <f t="shared" si="6"/>
        <v>3</v>
      </c>
      <c r="AL92" s="24">
        <f t="shared" si="6"/>
        <v>27</v>
      </c>
      <c r="AM92" s="24">
        <f t="shared" si="6"/>
        <v>33.5</v>
      </c>
      <c r="AN92" s="24">
        <f t="shared" si="6"/>
        <v>6</v>
      </c>
      <c r="AO92" s="25">
        <f t="shared" si="6"/>
        <v>0.69399999999999995</v>
      </c>
      <c r="AP92" s="25">
        <f t="shared" si="6"/>
        <v>0.5</v>
      </c>
      <c r="AQ92" s="25">
        <f t="shared" si="6"/>
        <v>0</v>
      </c>
      <c r="AR92" s="25">
        <f t="shared" si="6"/>
        <v>0.25700000000000001</v>
      </c>
      <c r="AS92" s="25">
        <f t="shared" si="6"/>
        <v>0.154</v>
      </c>
      <c r="AT92" s="25">
        <f t="shared" si="6"/>
        <v>0.45700000000000002</v>
      </c>
      <c r="AU92" s="25">
        <f t="shared" si="6"/>
        <v>1.2E-2</v>
      </c>
      <c r="AV92" s="25">
        <f t="shared" si="6"/>
        <v>0</v>
      </c>
      <c r="AW92" s="25">
        <f t="shared" si="6"/>
        <v>9.6999999999999989E-2</v>
      </c>
      <c r="AX92" s="25">
        <f t="shared" si="6"/>
        <v>0.28999999999999998</v>
      </c>
      <c r="AY92" s="24">
        <f t="shared" si="6"/>
        <v>124</v>
      </c>
      <c r="AZ92" s="24">
        <f t="shared" si="6"/>
        <v>112</v>
      </c>
      <c r="BA92" s="27">
        <f t="shared" si="6"/>
        <v>33.5</v>
      </c>
      <c r="BB92" s="30">
        <f t="shared" si="6"/>
        <v>12.2</v>
      </c>
    </row>
    <row r="95" spans="2:54" x14ac:dyDescent="0.2">
      <c r="B95" s="47" t="s">
        <v>170</v>
      </c>
      <c r="C95" s="48"/>
      <c r="D95" s="48"/>
      <c r="E95" s="48"/>
      <c r="F95" s="48"/>
      <c r="G95" s="48"/>
      <c r="H95" s="48"/>
      <c r="I95" s="48"/>
      <c r="J95" s="48"/>
      <c r="K95" s="48"/>
      <c r="L95" s="48"/>
      <c r="M95" s="48"/>
      <c r="N95" s="48"/>
      <c r="O95" s="48"/>
      <c r="P95" s="48"/>
      <c r="Q95" s="49"/>
      <c r="R95" s="49"/>
      <c r="S95" s="50"/>
      <c r="T95" s="49"/>
      <c r="U95" s="49"/>
      <c r="V95" s="50"/>
      <c r="W95" s="49"/>
      <c r="X95" s="49"/>
      <c r="Y95" s="50"/>
      <c r="Z95" s="50"/>
      <c r="AA95" s="49"/>
      <c r="AB95" s="49"/>
      <c r="AC95" s="50"/>
      <c r="AD95" s="49"/>
      <c r="AE95" s="49"/>
      <c r="AF95" s="49"/>
      <c r="AG95" s="49"/>
      <c r="AH95" s="49"/>
      <c r="AI95" s="49"/>
      <c r="AJ95" s="49"/>
      <c r="AK95" s="49"/>
      <c r="AL95" s="49"/>
      <c r="AM95" s="48"/>
      <c r="AN95" s="48"/>
      <c r="AO95" s="51"/>
      <c r="AP95" s="51"/>
      <c r="AQ95" s="51"/>
      <c r="AR95" s="51"/>
      <c r="AS95" s="51"/>
      <c r="AT95" s="51"/>
      <c r="AU95" s="51"/>
      <c r="AV95" s="51"/>
      <c r="AW95" s="51"/>
      <c r="AX95" s="51"/>
      <c r="AY95" s="52"/>
      <c r="AZ95" s="52"/>
      <c r="BA95" s="53"/>
      <c r="BB95" s="54"/>
    </row>
    <row r="96" spans="2:54" x14ac:dyDescent="0.2">
      <c r="B96" s="20" t="s">
        <v>165</v>
      </c>
      <c r="P96" s="4">
        <f>_xlfn.MAXIFS(P$2:P$83,$L$2:$L$83,"W")</f>
        <v>1.8715277777777777</v>
      </c>
      <c r="Q96" s="13">
        <f>_xlfn.MAXIFS(Q2:Q83,$L2:$L83,"W")</f>
        <v>19</v>
      </c>
      <c r="R96" s="13">
        <f t="shared" ref="R96:BB96" si="7">_xlfn.MAXIFS(R2:R83,$L2:$L83,"W")</f>
        <v>35</v>
      </c>
      <c r="S96" s="14">
        <f t="shared" si="7"/>
        <v>0.84599999999999997</v>
      </c>
      <c r="T96" s="13">
        <f t="shared" si="7"/>
        <v>6</v>
      </c>
      <c r="U96" s="13">
        <f t="shared" si="7"/>
        <v>14</v>
      </c>
      <c r="V96" s="14">
        <f t="shared" si="7"/>
        <v>1</v>
      </c>
      <c r="W96" s="13">
        <f t="shared" si="7"/>
        <v>16</v>
      </c>
      <c r="X96" s="13">
        <f t="shared" si="7"/>
        <v>27</v>
      </c>
      <c r="Y96" s="14">
        <f t="shared" si="7"/>
        <v>0.90900000000000003</v>
      </c>
      <c r="Z96" s="14">
        <f t="shared" si="7"/>
        <v>0.88500000000000001</v>
      </c>
      <c r="AA96" s="13">
        <f t="shared" si="7"/>
        <v>12</v>
      </c>
      <c r="AB96" s="13">
        <f t="shared" si="7"/>
        <v>17</v>
      </c>
      <c r="AC96" s="14">
        <f t="shared" si="7"/>
        <v>1</v>
      </c>
      <c r="AD96" s="13">
        <f t="shared" si="7"/>
        <v>8</v>
      </c>
      <c r="AE96" s="13">
        <f t="shared" si="7"/>
        <v>19</v>
      </c>
      <c r="AF96" s="13">
        <f t="shared" si="7"/>
        <v>22</v>
      </c>
      <c r="AG96" s="13">
        <f t="shared" si="7"/>
        <v>22</v>
      </c>
      <c r="AH96" s="13">
        <f t="shared" si="7"/>
        <v>5</v>
      </c>
      <c r="AI96" s="13">
        <f t="shared" si="7"/>
        <v>3</v>
      </c>
      <c r="AJ96" s="13">
        <f t="shared" si="7"/>
        <v>7</v>
      </c>
      <c r="AK96" s="13">
        <f t="shared" si="7"/>
        <v>5</v>
      </c>
      <c r="AL96" s="13">
        <f t="shared" si="7"/>
        <v>48</v>
      </c>
      <c r="AM96" s="11">
        <f t="shared" si="7"/>
        <v>45.2</v>
      </c>
      <c r="AN96" s="11">
        <f t="shared" si="7"/>
        <v>39</v>
      </c>
      <c r="AO96" s="14">
        <f t="shared" si="7"/>
        <v>0.93300000000000005</v>
      </c>
      <c r="AP96" s="14">
        <f t="shared" si="7"/>
        <v>0.88500000000000001</v>
      </c>
      <c r="AQ96" s="14">
        <f t="shared" si="7"/>
        <v>0.255</v>
      </c>
      <c r="AR96" s="14">
        <f t="shared" si="7"/>
        <v>0.54200000000000004</v>
      </c>
      <c r="AS96" s="14">
        <f t="shared" si="7"/>
        <v>0.32200000000000001</v>
      </c>
      <c r="AT96" s="14">
        <f t="shared" si="7"/>
        <v>0.76500000000000001</v>
      </c>
      <c r="AU96" s="14">
        <f t="shared" si="7"/>
        <v>6.6000000000000003E-2</v>
      </c>
      <c r="AV96" s="14">
        <f t="shared" si="7"/>
        <v>7.8E-2</v>
      </c>
      <c r="AW96" s="14">
        <f t="shared" si="7"/>
        <v>0.317</v>
      </c>
      <c r="AX96" s="14">
        <f t="shared" si="7"/>
        <v>0.434</v>
      </c>
      <c r="AY96" s="13">
        <f t="shared" si="7"/>
        <v>176</v>
      </c>
      <c r="AZ96" s="13">
        <f t="shared" si="7"/>
        <v>133</v>
      </c>
      <c r="BA96" s="18">
        <f t="shared" si="7"/>
        <v>45.2</v>
      </c>
      <c r="BB96" s="29">
        <f t="shared" si="7"/>
        <v>29</v>
      </c>
    </row>
    <row r="97" spans="2:54" x14ac:dyDescent="0.2">
      <c r="B97" s="20" t="s">
        <v>166</v>
      </c>
      <c r="P97" s="4">
        <f>_xlfn.MINIFS(P$2:P$83,$L$2:$L$83,"W")</f>
        <v>1.1930555555555555</v>
      </c>
      <c r="Q97" s="13">
        <f>_xlfn.MINIFS(Q2:Q83,$L2:$L83,"W")</f>
        <v>4</v>
      </c>
      <c r="R97" s="13">
        <f t="shared" ref="R97:BB97" si="8">_xlfn.MINIFS(R2:R83,$L2:$L83,"W")</f>
        <v>7</v>
      </c>
      <c r="S97" s="14">
        <f t="shared" si="8"/>
        <v>0.41699999999999998</v>
      </c>
      <c r="T97" s="13">
        <f t="shared" si="8"/>
        <v>0</v>
      </c>
      <c r="U97" s="13">
        <f t="shared" si="8"/>
        <v>0</v>
      </c>
      <c r="V97" s="14">
        <f t="shared" si="8"/>
        <v>0</v>
      </c>
      <c r="W97" s="13">
        <f t="shared" si="8"/>
        <v>3</v>
      </c>
      <c r="X97" s="13">
        <f t="shared" si="8"/>
        <v>5</v>
      </c>
      <c r="Y97" s="14">
        <f t="shared" si="8"/>
        <v>0.45500000000000002</v>
      </c>
      <c r="Z97" s="14">
        <f t="shared" si="8"/>
        <v>0.41699999999999998</v>
      </c>
      <c r="AA97" s="13">
        <f t="shared" si="8"/>
        <v>0</v>
      </c>
      <c r="AB97" s="13">
        <f t="shared" si="8"/>
        <v>0</v>
      </c>
      <c r="AC97" s="14">
        <f t="shared" si="8"/>
        <v>0.42899999999999999</v>
      </c>
      <c r="AD97" s="13">
        <f t="shared" si="8"/>
        <v>0</v>
      </c>
      <c r="AE97" s="13">
        <f t="shared" si="8"/>
        <v>2</v>
      </c>
      <c r="AF97" s="13">
        <f t="shared" si="8"/>
        <v>2</v>
      </c>
      <c r="AG97" s="13">
        <f t="shared" si="8"/>
        <v>2</v>
      </c>
      <c r="AH97" s="13">
        <f t="shared" si="8"/>
        <v>0</v>
      </c>
      <c r="AI97" s="13">
        <f t="shared" si="8"/>
        <v>0</v>
      </c>
      <c r="AJ97" s="13">
        <f t="shared" si="8"/>
        <v>1</v>
      </c>
      <c r="AK97" s="13">
        <f t="shared" si="8"/>
        <v>0</v>
      </c>
      <c r="AL97" s="13">
        <f t="shared" si="8"/>
        <v>10</v>
      </c>
      <c r="AM97" s="11">
        <f t="shared" si="8"/>
        <v>11</v>
      </c>
      <c r="AN97" s="11">
        <f t="shared" si="8"/>
        <v>-7</v>
      </c>
      <c r="AO97" s="14">
        <f t="shared" si="8"/>
        <v>0.48199999999999998</v>
      </c>
      <c r="AP97" s="14">
        <f t="shared" si="8"/>
        <v>0.41699999999999998</v>
      </c>
      <c r="AQ97" s="14">
        <f t="shared" si="8"/>
        <v>0</v>
      </c>
      <c r="AR97" s="14">
        <f t="shared" si="8"/>
        <v>7.2999999999999995E-2</v>
      </c>
      <c r="AS97" s="14">
        <f t="shared" si="8"/>
        <v>3.7999999999999999E-2</v>
      </c>
      <c r="AT97" s="14">
        <f t="shared" si="8"/>
        <v>9.9000000000000005E-2</v>
      </c>
      <c r="AU97" s="14">
        <f t="shared" si="8"/>
        <v>0</v>
      </c>
      <c r="AV97" s="14">
        <f t="shared" si="8"/>
        <v>0</v>
      </c>
      <c r="AW97" s="14">
        <f t="shared" si="8"/>
        <v>3.3000000000000002E-2</v>
      </c>
      <c r="AX97" s="14">
        <f t="shared" si="8"/>
        <v>0.13100000000000001</v>
      </c>
      <c r="AY97" s="13">
        <f t="shared" si="8"/>
        <v>97</v>
      </c>
      <c r="AZ97" s="13">
        <f t="shared" si="8"/>
        <v>80</v>
      </c>
      <c r="BA97" s="18">
        <f t="shared" si="8"/>
        <v>11</v>
      </c>
      <c r="BB97" s="29">
        <f t="shared" si="8"/>
        <v>-3.6</v>
      </c>
    </row>
    <row r="98" spans="2:54" x14ac:dyDescent="0.2">
      <c r="B98" s="20" t="s">
        <v>168</v>
      </c>
      <c r="P98" s="4">
        <f>AVERAGEIFS(P$2:P$83,$L$2:$L$83,"W")</f>
        <v>1.5031853864734299</v>
      </c>
      <c r="Q98" s="13">
        <f>AVERAGEIFS(Q2:Q83,$L2:$L83,"W")</f>
        <v>10.804347826086957</v>
      </c>
      <c r="R98" s="13">
        <f t="shared" ref="R98:BB98" si="9">AVERAGEIFS(R2:R83,$L2:$L83,"W")</f>
        <v>18.347826086956523</v>
      </c>
      <c r="S98" s="14">
        <f t="shared" si="9"/>
        <v>0.59932608695652179</v>
      </c>
      <c r="T98" s="13">
        <f t="shared" si="9"/>
        <v>1.8043478260869565</v>
      </c>
      <c r="U98" s="13">
        <f t="shared" si="9"/>
        <v>4.0869565217391308</v>
      </c>
      <c r="V98" s="14">
        <f t="shared" si="9"/>
        <v>0.47015909090909092</v>
      </c>
      <c r="W98" s="13">
        <f t="shared" si="9"/>
        <v>9</v>
      </c>
      <c r="X98" s="13">
        <f t="shared" si="9"/>
        <v>14.260869565217391</v>
      </c>
      <c r="Y98" s="14">
        <f t="shared" si="9"/>
        <v>0.64260869565217404</v>
      </c>
      <c r="Z98" s="14">
        <f t="shared" si="9"/>
        <v>0.64767391304347843</v>
      </c>
      <c r="AA98" s="13">
        <f t="shared" si="9"/>
        <v>5.4565217391304346</v>
      </c>
      <c r="AB98" s="13">
        <f t="shared" si="9"/>
        <v>6.6956521739130439</v>
      </c>
      <c r="AC98" s="14">
        <f t="shared" si="9"/>
        <v>0.79304444444444455</v>
      </c>
      <c r="AD98" s="13">
        <f t="shared" si="9"/>
        <v>2.847826086956522</v>
      </c>
      <c r="AE98" s="13">
        <f t="shared" si="9"/>
        <v>10.239130434782609</v>
      </c>
      <c r="AF98" s="13">
        <f t="shared" si="9"/>
        <v>13.086956521739131</v>
      </c>
      <c r="AG98" s="13">
        <f t="shared" si="9"/>
        <v>10.717391304347826</v>
      </c>
      <c r="AH98" s="13">
        <f t="shared" si="9"/>
        <v>1.9565217391304348</v>
      </c>
      <c r="AI98" s="13">
        <f t="shared" si="9"/>
        <v>0.71739130434782605</v>
      </c>
      <c r="AJ98" s="13">
        <f t="shared" si="9"/>
        <v>3.1956521739130435</v>
      </c>
      <c r="AK98" s="13">
        <f t="shared" si="9"/>
        <v>2.2608695652173911</v>
      </c>
      <c r="AL98" s="13">
        <f t="shared" si="9"/>
        <v>28.869565217391305</v>
      </c>
      <c r="AM98" s="55">
        <f t="shared" si="9"/>
        <v>30.778260869565223</v>
      </c>
      <c r="AN98" s="55">
        <f t="shared" si="9"/>
        <v>15.478260869565217</v>
      </c>
      <c r="AO98" s="14">
        <f t="shared" si="9"/>
        <v>0.68876086956521743</v>
      </c>
      <c r="AP98" s="14">
        <f t="shared" si="9"/>
        <v>0.64767391304347843</v>
      </c>
      <c r="AQ98" s="14">
        <f t="shared" si="9"/>
        <v>9.360869565217389E-2</v>
      </c>
      <c r="AR98" s="14">
        <f t="shared" si="9"/>
        <v>0.29134782608695653</v>
      </c>
      <c r="AS98" s="14">
        <f t="shared" si="9"/>
        <v>0.20093478260869566</v>
      </c>
      <c r="AT98" s="14">
        <f t="shared" si="9"/>
        <v>0.43767391304347825</v>
      </c>
      <c r="AU98" s="14">
        <f t="shared" si="9"/>
        <v>2.6021739130434783E-2</v>
      </c>
      <c r="AV98" s="14">
        <f t="shared" si="9"/>
        <v>1.6543478260869569E-2</v>
      </c>
      <c r="AW98" s="14">
        <f t="shared" si="9"/>
        <v>0.1320434782608696</v>
      </c>
      <c r="AX98" s="14">
        <f t="shared" si="9"/>
        <v>0.28599999999999992</v>
      </c>
      <c r="AY98" s="13">
        <f t="shared" si="9"/>
        <v>139.65217391304347</v>
      </c>
      <c r="AZ98" s="13">
        <f t="shared" si="9"/>
        <v>106.5</v>
      </c>
      <c r="BA98" s="18">
        <f t="shared" si="9"/>
        <v>30.778260869565223</v>
      </c>
      <c r="BB98" s="29">
        <f t="shared" si="9"/>
        <v>14.176086956521738</v>
      </c>
    </row>
    <row r="99" spans="2:54" s="12" customFormat="1" x14ac:dyDescent="0.2">
      <c r="B99" s="45" t="s">
        <v>206</v>
      </c>
      <c r="C99" s="46"/>
      <c r="D99" s="46"/>
      <c r="E99" s="46"/>
      <c r="F99" s="46"/>
      <c r="G99" s="46"/>
      <c r="H99" s="46"/>
      <c r="I99" s="46"/>
      <c r="J99" s="46"/>
      <c r="K99" s="46"/>
      <c r="L99" s="46"/>
      <c r="M99" s="46"/>
      <c r="N99" s="46"/>
      <c r="O99" s="46"/>
      <c r="P99" s="40">
        <f>SUMIF($L$2:$L$83,"W",P$2:P$83)</f>
        <v>69.146527777777777</v>
      </c>
      <c r="Q99" s="41">
        <f>SUMIF($L2:$L83,"W",Q2:Q83)</f>
        <v>497</v>
      </c>
      <c r="R99" s="41">
        <f t="shared" ref="R99:BB99" si="10">SUMIF($L2:$L83,"W",R2:R83)</f>
        <v>844</v>
      </c>
      <c r="S99" s="39">
        <f t="shared" si="10"/>
        <v>27.569000000000003</v>
      </c>
      <c r="T99" s="41">
        <f t="shared" si="10"/>
        <v>83</v>
      </c>
      <c r="U99" s="41">
        <f t="shared" si="10"/>
        <v>188</v>
      </c>
      <c r="V99" s="39">
        <f t="shared" si="10"/>
        <v>20.687000000000001</v>
      </c>
      <c r="W99" s="41">
        <f t="shared" si="10"/>
        <v>414</v>
      </c>
      <c r="X99" s="41">
        <f t="shared" si="10"/>
        <v>656</v>
      </c>
      <c r="Y99" s="39">
        <f t="shared" si="10"/>
        <v>29.560000000000006</v>
      </c>
      <c r="Z99" s="39">
        <f t="shared" si="10"/>
        <v>29.79300000000001</v>
      </c>
      <c r="AA99" s="41">
        <f t="shared" si="10"/>
        <v>251</v>
      </c>
      <c r="AB99" s="41">
        <f t="shared" si="10"/>
        <v>308</v>
      </c>
      <c r="AC99" s="39">
        <f t="shared" si="10"/>
        <v>35.687000000000005</v>
      </c>
      <c r="AD99" s="41">
        <f t="shared" si="10"/>
        <v>131</v>
      </c>
      <c r="AE99" s="41">
        <f t="shared" si="10"/>
        <v>471</v>
      </c>
      <c r="AF99" s="41">
        <f t="shared" si="10"/>
        <v>602</v>
      </c>
      <c r="AG99" s="41">
        <f t="shared" si="10"/>
        <v>493</v>
      </c>
      <c r="AH99" s="41">
        <f t="shared" si="10"/>
        <v>90</v>
      </c>
      <c r="AI99" s="41">
        <f t="shared" si="10"/>
        <v>33</v>
      </c>
      <c r="AJ99" s="41">
        <f t="shared" si="10"/>
        <v>147</v>
      </c>
      <c r="AK99" s="41">
        <f t="shared" si="10"/>
        <v>104</v>
      </c>
      <c r="AL99" s="41">
        <f t="shared" si="10"/>
        <v>1328</v>
      </c>
      <c r="AM99" s="46">
        <f t="shared" si="10"/>
        <v>1415.8000000000002</v>
      </c>
      <c r="AN99" s="46">
        <f t="shared" si="10"/>
        <v>712</v>
      </c>
      <c r="AO99" s="39">
        <f t="shared" si="10"/>
        <v>31.683</v>
      </c>
      <c r="AP99" s="39">
        <f t="shared" si="10"/>
        <v>29.79300000000001</v>
      </c>
      <c r="AQ99" s="39">
        <f t="shared" si="10"/>
        <v>4.3059999999999992</v>
      </c>
      <c r="AR99" s="39">
        <f t="shared" si="10"/>
        <v>13.401999999999999</v>
      </c>
      <c r="AS99" s="39">
        <f t="shared" si="10"/>
        <v>9.2430000000000003</v>
      </c>
      <c r="AT99" s="39">
        <f t="shared" si="10"/>
        <v>20.132999999999999</v>
      </c>
      <c r="AU99" s="39">
        <f t="shared" si="10"/>
        <v>1.1970000000000001</v>
      </c>
      <c r="AV99" s="39">
        <f t="shared" si="10"/>
        <v>0.76100000000000023</v>
      </c>
      <c r="AW99" s="39">
        <f t="shared" si="10"/>
        <v>6.0740000000000016</v>
      </c>
      <c r="AX99" s="39">
        <f t="shared" si="10"/>
        <v>13.155999999999997</v>
      </c>
      <c r="AY99" s="41">
        <f t="shared" si="10"/>
        <v>6424</v>
      </c>
      <c r="AZ99" s="41">
        <f t="shared" si="10"/>
        <v>4899</v>
      </c>
      <c r="BA99" s="42">
        <f t="shared" si="10"/>
        <v>1415.8000000000002</v>
      </c>
      <c r="BB99" s="43">
        <f t="shared" si="10"/>
        <v>652.09999999999991</v>
      </c>
    </row>
    <row r="102" spans="2:54" x14ac:dyDescent="0.2">
      <c r="B102" s="47" t="s">
        <v>171</v>
      </c>
      <c r="C102" s="48"/>
      <c r="D102" s="48"/>
      <c r="E102" s="48"/>
      <c r="F102" s="48"/>
      <c r="G102" s="48"/>
      <c r="H102" s="48"/>
      <c r="I102" s="48"/>
      <c r="J102" s="48"/>
      <c r="K102" s="48"/>
      <c r="L102" s="48"/>
      <c r="M102" s="48"/>
      <c r="N102" s="48"/>
      <c r="O102" s="48"/>
      <c r="P102" s="48"/>
      <c r="Q102" s="49"/>
      <c r="R102" s="49"/>
      <c r="S102" s="50"/>
      <c r="T102" s="49"/>
      <c r="U102" s="49"/>
      <c r="V102" s="50"/>
      <c r="W102" s="49"/>
      <c r="X102" s="49"/>
      <c r="Y102" s="50"/>
      <c r="Z102" s="50"/>
      <c r="AA102" s="49"/>
      <c r="AB102" s="49"/>
      <c r="AC102" s="50"/>
      <c r="AD102" s="49"/>
      <c r="AE102" s="49"/>
      <c r="AF102" s="49"/>
      <c r="AG102" s="49"/>
      <c r="AH102" s="49"/>
      <c r="AI102" s="49"/>
      <c r="AJ102" s="49"/>
      <c r="AK102" s="49"/>
      <c r="AL102" s="49"/>
      <c r="AM102" s="48"/>
      <c r="AN102" s="48"/>
      <c r="AO102" s="51"/>
      <c r="AP102" s="51"/>
      <c r="AQ102" s="51"/>
      <c r="AR102" s="51"/>
      <c r="AS102" s="51"/>
      <c r="AT102" s="51"/>
      <c r="AU102" s="51"/>
      <c r="AV102" s="51"/>
      <c r="AW102" s="51"/>
      <c r="AX102" s="51"/>
      <c r="AY102" s="52"/>
      <c r="AZ102" s="52"/>
      <c r="BA102" s="53"/>
      <c r="BB102" s="54"/>
    </row>
    <row r="103" spans="2:54" x14ac:dyDescent="0.2">
      <c r="B103" s="20" t="s">
        <v>165</v>
      </c>
      <c r="P103" s="4">
        <f>_xlfn.MAXIFS(P$2:P$83,$L$2:$L$83,"L")</f>
        <v>2.1930555555555555</v>
      </c>
      <c r="Q103" s="13">
        <f>_xlfn.MAXIFS(Q$2:Q$83,$L$2:$L$83,"L")</f>
        <v>22</v>
      </c>
      <c r="R103" s="13">
        <f t="shared" ref="R103:BB103" si="11">_xlfn.MAXIFS(R$2:R$83,$L$2:$L$83,"L")</f>
        <v>39</v>
      </c>
      <c r="S103" s="14">
        <f t="shared" si="11"/>
        <v>0.81299999999999994</v>
      </c>
      <c r="T103" s="13">
        <f t="shared" si="11"/>
        <v>7</v>
      </c>
      <c r="U103" s="13">
        <f t="shared" si="11"/>
        <v>12</v>
      </c>
      <c r="V103" s="14">
        <f t="shared" si="11"/>
        <v>1</v>
      </c>
      <c r="W103" s="13">
        <f t="shared" si="11"/>
        <v>19</v>
      </c>
      <c r="X103" s="13">
        <f t="shared" si="11"/>
        <v>33</v>
      </c>
      <c r="Y103" s="14">
        <f t="shared" si="11"/>
        <v>0.9</v>
      </c>
      <c r="Z103" s="14">
        <f t="shared" si="11"/>
        <v>0.88200000000000001</v>
      </c>
      <c r="AA103" s="13">
        <f t="shared" si="11"/>
        <v>19</v>
      </c>
      <c r="AB103" s="13">
        <f t="shared" si="11"/>
        <v>24</v>
      </c>
      <c r="AC103" s="14">
        <f t="shared" si="11"/>
        <v>1</v>
      </c>
      <c r="AD103" s="13">
        <f t="shared" si="11"/>
        <v>7</v>
      </c>
      <c r="AE103" s="13">
        <f t="shared" si="11"/>
        <v>17</v>
      </c>
      <c r="AF103" s="13">
        <f t="shared" si="11"/>
        <v>20</v>
      </c>
      <c r="AG103" s="13">
        <f t="shared" si="11"/>
        <v>14</v>
      </c>
      <c r="AH103" s="13">
        <f t="shared" si="11"/>
        <v>3</v>
      </c>
      <c r="AI103" s="13">
        <f t="shared" si="11"/>
        <v>3</v>
      </c>
      <c r="AJ103" s="13">
        <f t="shared" si="11"/>
        <v>7</v>
      </c>
      <c r="AK103" s="13">
        <f t="shared" si="11"/>
        <v>5</v>
      </c>
      <c r="AL103" s="13">
        <f t="shared" si="11"/>
        <v>61</v>
      </c>
      <c r="AM103" s="11">
        <f t="shared" si="11"/>
        <v>52.7</v>
      </c>
      <c r="AN103" s="11">
        <f t="shared" si="11"/>
        <v>7</v>
      </c>
      <c r="AO103" s="14">
        <f t="shared" si="11"/>
        <v>0.90100000000000002</v>
      </c>
      <c r="AP103" s="14">
        <f t="shared" si="11"/>
        <v>0.88200000000000001</v>
      </c>
      <c r="AQ103" s="14">
        <f t="shared" si="11"/>
        <v>0.185</v>
      </c>
      <c r="AR103" s="14">
        <f t="shared" si="11"/>
        <v>0.43099999999999999</v>
      </c>
      <c r="AS103" s="14">
        <f t="shared" si="11"/>
        <v>0.25900000000000001</v>
      </c>
      <c r="AT103" s="14">
        <f t="shared" si="11"/>
        <v>0.66099999999999992</v>
      </c>
      <c r="AU103" s="14">
        <f t="shared" si="11"/>
        <v>3.7999999999999999E-2</v>
      </c>
      <c r="AV103" s="14">
        <f t="shared" si="11"/>
        <v>6.2E-2</v>
      </c>
      <c r="AW103" s="14">
        <f t="shared" si="11"/>
        <v>0.34499999999999997</v>
      </c>
      <c r="AX103" s="14">
        <f t="shared" si="11"/>
        <v>0.50700000000000001</v>
      </c>
      <c r="AY103" s="13">
        <f t="shared" si="11"/>
        <v>150</v>
      </c>
      <c r="AZ103" s="13">
        <f t="shared" si="11"/>
        <v>144</v>
      </c>
      <c r="BA103" s="18">
        <f t="shared" si="11"/>
        <v>52.7</v>
      </c>
      <c r="BB103" s="29">
        <f t="shared" si="11"/>
        <v>18.899999999999999</v>
      </c>
    </row>
    <row r="104" spans="2:54" x14ac:dyDescent="0.2">
      <c r="B104" s="20" t="s">
        <v>166</v>
      </c>
      <c r="P104" s="4">
        <f>_xlfn.MINIFS(P$2:P$83,$L$2:$L$83,"L")</f>
        <v>1.3263888888888888</v>
      </c>
      <c r="Q104" s="13">
        <f>_xlfn.MINIFS(Q$2:Q$83,$L$2:$L$83,"L")</f>
        <v>2</v>
      </c>
      <c r="R104" s="13">
        <f t="shared" ref="R104:BB104" si="12">_xlfn.MINIFS(R$2:R$83,$L$2:$L$83,"L")</f>
        <v>7</v>
      </c>
      <c r="S104" s="14">
        <f t="shared" si="12"/>
        <v>0.28599999999999998</v>
      </c>
      <c r="T104" s="13">
        <f t="shared" si="12"/>
        <v>0</v>
      </c>
      <c r="U104" s="13">
        <f t="shared" si="12"/>
        <v>1</v>
      </c>
      <c r="V104" s="14">
        <f t="shared" si="12"/>
        <v>0</v>
      </c>
      <c r="W104" s="13">
        <f t="shared" si="12"/>
        <v>2</v>
      </c>
      <c r="X104" s="13">
        <f t="shared" si="12"/>
        <v>6</v>
      </c>
      <c r="Y104" s="14">
        <f t="shared" si="12"/>
        <v>0.33300000000000002</v>
      </c>
      <c r="Z104" s="14">
        <f t="shared" si="12"/>
        <v>0.28599999999999998</v>
      </c>
      <c r="AA104" s="13">
        <f t="shared" si="12"/>
        <v>0</v>
      </c>
      <c r="AB104" s="13">
        <f t="shared" si="12"/>
        <v>0</v>
      </c>
      <c r="AC104" s="14">
        <f t="shared" si="12"/>
        <v>0</v>
      </c>
      <c r="AD104" s="13">
        <f t="shared" si="12"/>
        <v>0</v>
      </c>
      <c r="AE104" s="13">
        <f t="shared" si="12"/>
        <v>2</v>
      </c>
      <c r="AF104" s="13">
        <f t="shared" si="12"/>
        <v>3</v>
      </c>
      <c r="AG104" s="13">
        <f t="shared" si="12"/>
        <v>2</v>
      </c>
      <c r="AH104" s="13">
        <f t="shared" si="12"/>
        <v>0</v>
      </c>
      <c r="AI104" s="13">
        <f t="shared" si="12"/>
        <v>0</v>
      </c>
      <c r="AJ104" s="13">
        <f t="shared" si="12"/>
        <v>0</v>
      </c>
      <c r="AK104" s="13">
        <f t="shared" si="12"/>
        <v>0</v>
      </c>
      <c r="AL104" s="13">
        <f t="shared" si="12"/>
        <v>12</v>
      </c>
      <c r="AM104" s="11">
        <f t="shared" si="12"/>
        <v>13.4</v>
      </c>
      <c r="AN104" s="11">
        <f t="shared" si="12"/>
        <v>-24</v>
      </c>
      <c r="AO104" s="14">
        <f t="shared" si="12"/>
        <v>0.46800000000000003</v>
      </c>
      <c r="AP104" s="14">
        <f t="shared" si="12"/>
        <v>0.28599999999999998</v>
      </c>
      <c r="AQ104" s="14">
        <f t="shared" si="12"/>
        <v>0</v>
      </c>
      <c r="AR104" s="14">
        <f t="shared" si="12"/>
        <v>7.400000000000001E-2</v>
      </c>
      <c r="AS104" s="14">
        <f t="shared" si="12"/>
        <v>5.5E-2</v>
      </c>
      <c r="AT104" s="14">
        <f t="shared" si="12"/>
        <v>0.109</v>
      </c>
      <c r="AU104" s="14">
        <f t="shared" si="12"/>
        <v>0</v>
      </c>
      <c r="AV104" s="14">
        <f t="shared" si="12"/>
        <v>0</v>
      </c>
      <c r="AW104" s="14">
        <f t="shared" si="12"/>
        <v>0</v>
      </c>
      <c r="AX104" s="14">
        <f t="shared" si="12"/>
        <v>0</v>
      </c>
      <c r="AY104" s="13">
        <f t="shared" si="12"/>
        <v>104</v>
      </c>
      <c r="AZ104" s="13">
        <f t="shared" si="12"/>
        <v>99</v>
      </c>
      <c r="BA104" s="18">
        <f t="shared" si="12"/>
        <v>13.4</v>
      </c>
      <c r="BB104" s="29">
        <f t="shared" si="12"/>
        <v>0.3</v>
      </c>
    </row>
    <row r="105" spans="2:54" x14ac:dyDescent="0.2">
      <c r="B105" s="20" t="s">
        <v>168</v>
      </c>
      <c r="P105" s="4">
        <f>AVERAGEIFS(P$2:P$83,$L$2:$L$83,"L")</f>
        <v>1.5822627314814814</v>
      </c>
      <c r="Q105" s="13">
        <f>AVERAGEIFS(Q$2:Q$83,$L$2:$L$83,"L")</f>
        <v>12.041666666666666</v>
      </c>
      <c r="R105" s="13">
        <f t="shared" ref="R105:BB105" si="13">AVERAGEIFS(R$2:R$83,$L$2:$L$83,"L")</f>
        <v>21.666666666666668</v>
      </c>
      <c r="S105" s="14">
        <f t="shared" si="13"/>
        <v>0.55712499999999998</v>
      </c>
      <c r="T105" s="13">
        <f t="shared" si="13"/>
        <v>2.2916666666666665</v>
      </c>
      <c r="U105" s="13">
        <f t="shared" si="13"/>
        <v>5.958333333333333</v>
      </c>
      <c r="V105" s="14">
        <f t="shared" si="13"/>
        <v>0.38754166666666667</v>
      </c>
      <c r="W105" s="13">
        <f t="shared" si="13"/>
        <v>9.75</v>
      </c>
      <c r="X105" s="13">
        <f t="shared" si="13"/>
        <v>15.708333333333334</v>
      </c>
      <c r="Y105" s="14">
        <f t="shared" si="13"/>
        <v>0.61879166666666674</v>
      </c>
      <c r="Z105" s="14">
        <f t="shared" si="13"/>
        <v>0.6107083333333333</v>
      </c>
      <c r="AA105" s="13">
        <f t="shared" si="13"/>
        <v>4.583333333333333</v>
      </c>
      <c r="AB105" s="13">
        <f t="shared" si="13"/>
        <v>5.958333333333333</v>
      </c>
      <c r="AC105" s="14">
        <f t="shared" si="13"/>
        <v>0.7674347826086958</v>
      </c>
      <c r="AD105" s="13">
        <f t="shared" si="13"/>
        <v>2.875</v>
      </c>
      <c r="AE105" s="13">
        <f t="shared" si="13"/>
        <v>9.2083333333333339</v>
      </c>
      <c r="AF105" s="13">
        <f t="shared" si="13"/>
        <v>12.083333333333334</v>
      </c>
      <c r="AG105" s="13">
        <f t="shared" si="13"/>
        <v>9.2916666666666661</v>
      </c>
      <c r="AH105" s="13">
        <f t="shared" si="13"/>
        <v>1.5416666666666667</v>
      </c>
      <c r="AI105" s="13">
        <f t="shared" si="13"/>
        <v>0.5</v>
      </c>
      <c r="AJ105" s="13">
        <f t="shared" si="13"/>
        <v>3.4583333333333335</v>
      </c>
      <c r="AK105" s="13">
        <f t="shared" si="13"/>
        <v>2.3333333333333335</v>
      </c>
      <c r="AL105" s="13">
        <f t="shared" si="13"/>
        <v>30.958333333333332</v>
      </c>
      <c r="AM105" s="55">
        <f t="shared" si="13"/>
        <v>28.837500000000006</v>
      </c>
      <c r="AN105" s="56">
        <f t="shared" si="13"/>
        <v>-4.916666666666667</v>
      </c>
      <c r="AO105" s="14">
        <f t="shared" si="13"/>
        <v>0.64212500000000006</v>
      </c>
      <c r="AP105" s="14">
        <f t="shared" si="13"/>
        <v>0.6107083333333333</v>
      </c>
      <c r="AQ105" s="14">
        <f t="shared" si="13"/>
        <v>8.237499999999999E-2</v>
      </c>
      <c r="AR105" s="14">
        <f t="shared" si="13"/>
        <v>0.26620833333333344</v>
      </c>
      <c r="AS105" s="14">
        <f t="shared" si="13"/>
        <v>0.17358333333333331</v>
      </c>
      <c r="AT105" s="14">
        <f t="shared" si="13"/>
        <v>0.42320833333333341</v>
      </c>
      <c r="AU105" s="14">
        <f t="shared" si="13"/>
        <v>1.9666666666666676E-2</v>
      </c>
      <c r="AV105" s="14">
        <f t="shared" si="13"/>
        <v>1.1958333333333335E-2</v>
      </c>
      <c r="AW105" s="14">
        <f t="shared" si="13"/>
        <v>0.13370833333333335</v>
      </c>
      <c r="AX105" s="14">
        <f t="shared" si="13"/>
        <v>0.29492000000000002</v>
      </c>
      <c r="AY105" s="13">
        <f t="shared" si="13"/>
        <v>125.625</v>
      </c>
      <c r="AZ105" s="13">
        <f t="shared" si="13"/>
        <v>119.45833333333333</v>
      </c>
      <c r="BA105" s="18">
        <f t="shared" si="13"/>
        <v>28.837500000000006</v>
      </c>
      <c r="BB105" s="29">
        <f t="shared" si="13"/>
        <v>11.783333333333331</v>
      </c>
    </row>
    <row r="106" spans="2:54" s="12" customFormat="1" x14ac:dyDescent="0.2">
      <c r="B106" s="45" t="s">
        <v>206</v>
      </c>
      <c r="C106" s="46"/>
      <c r="D106" s="46"/>
      <c r="E106" s="46"/>
      <c r="F106" s="46"/>
      <c r="G106" s="46"/>
      <c r="H106" s="46"/>
      <c r="I106" s="46"/>
      <c r="J106" s="46"/>
      <c r="K106" s="46"/>
      <c r="L106" s="46"/>
      <c r="M106" s="46"/>
      <c r="N106" s="46"/>
      <c r="O106" s="46"/>
      <c r="P106" s="40">
        <f>SUMIF($L$2:$L$83,"L",P$2:P$83)</f>
        <v>37.974305555555553</v>
      </c>
      <c r="Q106" s="41">
        <f>SUMIF($L$2:$L$83,"L",Q$2:Q$83)</f>
        <v>289</v>
      </c>
      <c r="R106" s="41">
        <f t="shared" ref="R106:BB106" si="14">SUMIF($L$2:$L$83,"L",R$2:R$83)</f>
        <v>520</v>
      </c>
      <c r="S106" s="39">
        <f t="shared" si="14"/>
        <v>13.371</v>
      </c>
      <c r="T106" s="41">
        <f t="shared" si="14"/>
        <v>55</v>
      </c>
      <c r="U106" s="41">
        <f t="shared" si="14"/>
        <v>143</v>
      </c>
      <c r="V106" s="39">
        <f t="shared" si="14"/>
        <v>9.3010000000000002</v>
      </c>
      <c r="W106" s="41">
        <f t="shared" si="14"/>
        <v>234</v>
      </c>
      <c r="X106" s="41">
        <f t="shared" si="14"/>
        <v>377</v>
      </c>
      <c r="Y106" s="39">
        <f t="shared" si="14"/>
        <v>14.851000000000001</v>
      </c>
      <c r="Z106" s="39">
        <f t="shared" si="14"/>
        <v>14.656999999999998</v>
      </c>
      <c r="AA106" s="41">
        <f t="shared" si="14"/>
        <v>110</v>
      </c>
      <c r="AB106" s="41">
        <f t="shared" si="14"/>
        <v>143</v>
      </c>
      <c r="AC106" s="39">
        <f t="shared" si="14"/>
        <v>17.651000000000003</v>
      </c>
      <c r="AD106" s="41">
        <f t="shared" si="14"/>
        <v>69</v>
      </c>
      <c r="AE106" s="41">
        <f t="shared" si="14"/>
        <v>221</v>
      </c>
      <c r="AF106" s="41">
        <f t="shared" si="14"/>
        <v>290</v>
      </c>
      <c r="AG106" s="41">
        <f t="shared" si="14"/>
        <v>223</v>
      </c>
      <c r="AH106" s="41">
        <f t="shared" si="14"/>
        <v>37</v>
      </c>
      <c r="AI106" s="41">
        <f t="shared" si="14"/>
        <v>12</v>
      </c>
      <c r="AJ106" s="41">
        <f t="shared" si="14"/>
        <v>83</v>
      </c>
      <c r="AK106" s="41">
        <f t="shared" si="14"/>
        <v>56</v>
      </c>
      <c r="AL106" s="41">
        <f t="shared" si="14"/>
        <v>743</v>
      </c>
      <c r="AM106" s="46">
        <f t="shared" si="14"/>
        <v>692.10000000000014</v>
      </c>
      <c r="AN106" s="46">
        <f t="shared" si="14"/>
        <v>-118</v>
      </c>
      <c r="AO106" s="39">
        <f t="shared" si="14"/>
        <v>15.411000000000001</v>
      </c>
      <c r="AP106" s="39">
        <f t="shared" si="14"/>
        <v>14.656999999999998</v>
      </c>
      <c r="AQ106" s="39">
        <f t="shared" si="14"/>
        <v>1.9769999999999996</v>
      </c>
      <c r="AR106" s="39">
        <f t="shared" si="14"/>
        <v>6.389000000000002</v>
      </c>
      <c r="AS106" s="39">
        <f t="shared" si="14"/>
        <v>4.1659999999999995</v>
      </c>
      <c r="AT106" s="39">
        <f t="shared" si="14"/>
        <v>10.157000000000002</v>
      </c>
      <c r="AU106" s="39">
        <f t="shared" si="14"/>
        <v>0.4720000000000002</v>
      </c>
      <c r="AV106" s="39">
        <f t="shared" si="14"/>
        <v>0.28700000000000003</v>
      </c>
      <c r="AW106" s="39">
        <f t="shared" si="14"/>
        <v>3.2090000000000001</v>
      </c>
      <c r="AX106" s="39">
        <f t="shared" si="14"/>
        <v>7.3730000000000002</v>
      </c>
      <c r="AY106" s="41">
        <f t="shared" si="14"/>
        <v>3015</v>
      </c>
      <c r="AZ106" s="41">
        <f t="shared" si="14"/>
        <v>2867</v>
      </c>
      <c r="BA106" s="42">
        <f t="shared" si="14"/>
        <v>692.10000000000014</v>
      </c>
      <c r="BB106" s="43">
        <f t="shared" si="14"/>
        <v>282.79999999999995</v>
      </c>
    </row>
    <row r="109" spans="2:54" x14ac:dyDescent="0.2">
      <c r="B109" s="47" t="s">
        <v>200</v>
      </c>
      <c r="C109" s="48"/>
      <c r="D109" s="48"/>
      <c r="E109" s="48"/>
      <c r="F109" s="48"/>
      <c r="G109" s="48"/>
      <c r="H109" s="48"/>
      <c r="I109" s="48"/>
      <c r="J109" s="48"/>
      <c r="K109" s="48"/>
      <c r="L109" s="48"/>
      <c r="M109" s="48"/>
      <c r="N109" s="48"/>
      <c r="O109" s="48"/>
      <c r="P109" s="48"/>
      <c r="Q109" s="49"/>
      <c r="R109" s="49"/>
      <c r="S109" s="50"/>
      <c r="T109" s="49"/>
      <c r="U109" s="49"/>
      <c r="V109" s="50"/>
      <c r="W109" s="49"/>
      <c r="X109" s="49"/>
      <c r="Y109" s="50"/>
      <c r="Z109" s="50"/>
      <c r="AA109" s="49"/>
      <c r="AB109" s="49"/>
      <c r="AC109" s="50"/>
      <c r="AD109" s="49"/>
      <c r="AE109" s="49"/>
      <c r="AF109" s="49"/>
      <c r="AG109" s="49"/>
      <c r="AH109" s="49"/>
      <c r="AI109" s="49"/>
      <c r="AJ109" s="49"/>
      <c r="AK109" s="49"/>
      <c r="AL109" s="49"/>
      <c r="AM109" s="48"/>
      <c r="AN109" s="48"/>
      <c r="AO109" s="51"/>
      <c r="AP109" s="51"/>
      <c r="AQ109" s="51"/>
      <c r="AR109" s="51"/>
      <c r="AS109" s="51"/>
      <c r="AT109" s="51"/>
      <c r="AU109" s="51"/>
      <c r="AV109" s="51"/>
      <c r="AW109" s="51"/>
      <c r="AX109" s="51"/>
      <c r="AY109" s="52"/>
      <c r="AZ109" s="52"/>
      <c r="BA109" s="53"/>
      <c r="BB109" s="54"/>
    </row>
    <row r="110" spans="2:54" x14ac:dyDescent="0.2">
      <c r="B110" s="20" t="s">
        <v>165</v>
      </c>
      <c r="P110" s="4">
        <f>P96-P103</f>
        <v>-0.32152777777777786</v>
      </c>
      <c r="Q110" s="13">
        <f>Q96-Q103</f>
        <v>-3</v>
      </c>
      <c r="R110" s="13">
        <f t="shared" ref="R110:BB110" si="15">R96-R103</f>
        <v>-4</v>
      </c>
      <c r="S110" s="14">
        <f t="shared" si="15"/>
        <v>3.3000000000000029E-2</v>
      </c>
      <c r="T110" s="13">
        <f t="shared" si="15"/>
        <v>-1</v>
      </c>
      <c r="U110" s="13">
        <f t="shared" si="15"/>
        <v>2</v>
      </c>
      <c r="V110" s="14">
        <f t="shared" si="15"/>
        <v>0</v>
      </c>
      <c r="W110" s="13">
        <f t="shared" si="15"/>
        <v>-3</v>
      </c>
      <c r="X110" s="13">
        <f t="shared" si="15"/>
        <v>-6</v>
      </c>
      <c r="Y110" s="14">
        <f t="shared" si="15"/>
        <v>9.000000000000008E-3</v>
      </c>
      <c r="Z110" s="14">
        <f t="shared" si="15"/>
        <v>3.0000000000000027E-3</v>
      </c>
      <c r="AA110" s="13">
        <f t="shared" si="15"/>
        <v>-7</v>
      </c>
      <c r="AB110" s="13">
        <f t="shared" si="15"/>
        <v>-7</v>
      </c>
      <c r="AC110" s="14">
        <f t="shared" si="15"/>
        <v>0</v>
      </c>
      <c r="AD110" s="13">
        <f t="shared" si="15"/>
        <v>1</v>
      </c>
      <c r="AE110" s="13">
        <f t="shared" si="15"/>
        <v>2</v>
      </c>
      <c r="AF110" s="13">
        <f t="shared" si="15"/>
        <v>2</v>
      </c>
      <c r="AG110" s="13">
        <f t="shared" si="15"/>
        <v>8</v>
      </c>
      <c r="AH110" s="13">
        <f t="shared" si="15"/>
        <v>2</v>
      </c>
      <c r="AI110" s="13">
        <f t="shared" si="15"/>
        <v>0</v>
      </c>
      <c r="AJ110" s="13">
        <f t="shared" si="15"/>
        <v>0</v>
      </c>
      <c r="AK110" s="13">
        <f t="shared" si="15"/>
        <v>0</v>
      </c>
      <c r="AL110" s="13">
        <f t="shared" si="15"/>
        <v>-13</v>
      </c>
      <c r="AM110" s="13">
        <f t="shared" si="15"/>
        <v>-7.5</v>
      </c>
      <c r="AN110" s="13">
        <f t="shared" si="15"/>
        <v>32</v>
      </c>
      <c r="AO110" s="14">
        <f t="shared" si="15"/>
        <v>3.2000000000000028E-2</v>
      </c>
      <c r="AP110" s="14">
        <f t="shared" si="15"/>
        <v>3.0000000000000027E-3</v>
      </c>
      <c r="AQ110" s="14">
        <f t="shared" si="15"/>
        <v>7.0000000000000007E-2</v>
      </c>
      <c r="AR110" s="14">
        <f t="shared" si="15"/>
        <v>0.11100000000000004</v>
      </c>
      <c r="AS110" s="14">
        <f t="shared" si="15"/>
        <v>6.3E-2</v>
      </c>
      <c r="AT110" s="14">
        <f t="shared" si="15"/>
        <v>0.10400000000000009</v>
      </c>
      <c r="AU110" s="14">
        <f t="shared" si="15"/>
        <v>2.8000000000000004E-2</v>
      </c>
      <c r="AV110" s="14">
        <f t="shared" si="15"/>
        <v>1.6E-2</v>
      </c>
      <c r="AW110" s="14">
        <f t="shared" si="15"/>
        <v>-2.7999999999999969E-2</v>
      </c>
      <c r="AX110" s="14">
        <f t="shared" si="15"/>
        <v>-7.3000000000000009E-2</v>
      </c>
      <c r="AY110" s="13">
        <f t="shared" si="15"/>
        <v>26</v>
      </c>
      <c r="AZ110" s="13">
        <f t="shared" si="15"/>
        <v>-11</v>
      </c>
      <c r="BA110" s="18">
        <f t="shared" si="15"/>
        <v>-7.5</v>
      </c>
      <c r="BB110" s="29">
        <f t="shared" si="15"/>
        <v>10.100000000000001</v>
      </c>
    </row>
    <row r="111" spans="2:54" x14ac:dyDescent="0.2">
      <c r="B111" s="20" t="s">
        <v>166</v>
      </c>
      <c r="P111" s="4">
        <f t="shared" ref="P111:AE114" si="16">P97-P104</f>
        <v>-0.1333333333333333</v>
      </c>
      <c r="Q111" s="13">
        <f t="shared" ref="Q111:BB111" si="17">Q97-Q104</f>
        <v>2</v>
      </c>
      <c r="R111" s="13">
        <f t="shared" si="17"/>
        <v>0</v>
      </c>
      <c r="S111" s="14">
        <f t="shared" si="17"/>
        <v>0.13100000000000001</v>
      </c>
      <c r="T111" s="13">
        <f t="shared" si="17"/>
        <v>0</v>
      </c>
      <c r="U111" s="13">
        <f t="shared" si="17"/>
        <v>-1</v>
      </c>
      <c r="V111" s="14">
        <f t="shared" si="17"/>
        <v>0</v>
      </c>
      <c r="W111" s="13">
        <f t="shared" si="17"/>
        <v>1</v>
      </c>
      <c r="X111" s="13">
        <f t="shared" si="17"/>
        <v>-1</v>
      </c>
      <c r="Y111" s="14">
        <f t="shared" si="17"/>
        <v>0.122</v>
      </c>
      <c r="Z111" s="14">
        <f t="shared" si="17"/>
        <v>0.13100000000000001</v>
      </c>
      <c r="AA111" s="13">
        <f t="shared" si="17"/>
        <v>0</v>
      </c>
      <c r="AB111" s="13">
        <f t="shared" si="17"/>
        <v>0</v>
      </c>
      <c r="AC111" s="14">
        <f t="shared" si="17"/>
        <v>0.42899999999999999</v>
      </c>
      <c r="AD111" s="13">
        <f t="shared" si="17"/>
        <v>0</v>
      </c>
      <c r="AE111" s="13">
        <f t="shared" si="17"/>
        <v>0</v>
      </c>
      <c r="AF111" s="13">
        <f t="shared" si="17"/>
        <v>-1</v>
      </c>
      <c r="AG111" s="13">
        <f t="shared" si="17"/>
        <v>0</v>
      </c>
      <c r="AH111" s="13">
        <f t="shared" si="17"/>
        <v>0</v>
      </c>
      <c r="AI111" s="13">
        <f t="shared" si="17"/>
        <v>0</v>
      </c>
      <c r="AJ111" s="13">
        <f t="shared" si="17"/>
        <v>1</v>
      </c>
      <c r="AK111" s="13">
        <f t="shared" si="17"/>
        <v>0</v>
      </c>
      <c r="AL111" s="13">
        <f t="shared" si="17"/>
        <v>-2</v>
      </c>
      <c r="AM111" s="13">
        <f t="shared" si="17"/>
        <v>-2.4000000000000004</v>
      </c>
      <c r="AN111" s="13">
        <f t="shared" si="17"/>
        <v>17</v>
      </c>
      <c r="AO111" s="14">
        <f t="shared" si="17"/>
        <v>1.3999999999999957E-2</v>
      </c>
      <c r="AP111" s="14">
        <f t="shared" si="17"/>
        <v>0.13100000000000001</v>
      </c>
      <c r="AQ111" s="14">
        <f t="shared" si="17"/>
        <v>0</v>
      </c>
      <c r="AR111" s="14">
        <f t="shared" si="17"/>
        <v>-1.0000000000000148E-3</v>
      </c>
      <c r="AS111" s="14">
        <f t="shared" si="17"/>
        <v>-1.7000000000000001E-2</v>
      </c>
      <c r="AT111" s="14">
        <f t="shared" si="17"/>
        <v>-9.999999999999995E-3</v>
      </c>
      <c r="AU111" s="14">
        <f t="shared" si="17"/>
        <v>0</v>
      </c>
      <c r="AV111" s="14">
        <f t="shared" si="17"/>
        <v>0</v>
      </c>
      <c r="AW111" s="14">
        <f t="shared" si="17"/>
        <v>3.3000000000000002E-2</v>
      </c>
      <c r="AX111" s="14">
        <f t="shared" si="17"/>
        <v>0.13100000000000001</v>
      </c>
      <c r="AY111" s="13">
        <f t="shared" si="17"/>
        <v>-7</v>
      </c>
      <c r="AZ111" s="13">
        <f t="shared" si="17"/>
        <v>-19</v>
      </c>
      <c r="BA111" s="18">
        <f t="shared" si="17"/>
        <v>-2.4000000000000004</v>
      </c>
      <c r="BB111" s="29">
        <f t="shared" si="17"/>
        <v>-3.9</v>
      </c>
    </row>
    <row r="112" spans="2:54" x14ac:dyDescent="0.2">
      <c r="B112" s="20" t="s">
        <v>168</v>
      </c>
      <c r="P112" s="4">
        <f t="shared" si="16"/>
        <v>-7.9077345008051525E-2</v>
      </c>
      <c r="Q112" s="13">
        <f t="shared" ref="Q112:BB112" si="18">Q98-Q105</f>
        <v>-1.2373188405797091</v>
      </c>
      <c r="R112" s="13">
        <f t="shared" si="18"/>
        <v>-3.3188405797101446</v>
      </c>
      <c r="S112" s="14">
        <f t="shared" si="18"/>
        <v>4.2201086956521805E-2</v>
      </c>
      <c r="T112" s="13">
        <f t="shared" si="18"/>
        <v>-0.48731884057970998</v>
      </c>
      <c r="U112" s="13">
        <f t="shared" si="18"/>
        <v>-1.8713768115942022</v>
      </c>
      <c r="V112" s="14">
        <f t="shared" si="18"/>
        <v>8.2617424242424242E-2</v>
      </c>
      <c r="W112" s="13">
        <f t="shared" si="18"/>
        <v>-0.75</v>
      </c>
      <c r="X112" s="13">
        <f t="shared" si="18"/>
        <v>-1.4474637681159432</v>
      </c>
      <c r="Y112" s="14">
        <f t="shared" si="18"/>
        <v>2.3817028985507305E-2</v>
      </c>
      <c r="Z112" s="14">
        <f t="shared" si="18"/>
        <v>3.6965579710145136E-2</v>
      </c>
      <c r="AA112" s="13">
        <f t="shared" si="18"/>
        <v>0.87318840579710155</v>
      </c>
      <c r="AB112" s="13">
        <f t="shared" si="18"/>
        <v>0.73731884057971087</v>
      </c>
      <c r="AC112" s="14">
        <f t="shared" si="18"/>
        <v>2.5609661835748754E-2</v>
      </c>
      <c r="AD112" s="13">
        <f t="shared" si="18"/>
        <v>-2.7173913043478048E-2</v>
      </c>
      <c r="AE112" s="13">
        <f t="shared" si="18"/>
        <v>1.0307971014492754</v>
      </c>
      <c r="AF112" s="13">
        <f t="shared" si="18"/>
        <v>1.0036231884057969</v>
      </c>
      <c r="AG112" s="13">
        <f t="shared" si="18"/>
        <v>1.4257246376811601</v>
      </c>
      <c r="AH112" s="13">
        <f t="shared" si="18"/>
        <v>0.41485507246376807</v>
      </c>
      <c r="AI112" s="13">
        <f t="shared" si="18"/>
        <v>0.21739130434782605</v>
      </c>
      <c r="AJ112" s="13">
        <f t="shared" si="18"/>
        <v>-0.26268115942029002</v>
      </c>
      <c r="AK112" s="13">
        <f t="shared" si="18"/>
        <v>-7.2463768115942351E-2</v>
      </c>
      <c r="AL112" s="13">
        <f t="shared" si="18"/>
        <v>-2.0887681159420275</v>
      </c>
      <c r="AM112" s="18">
        <f t="shared" si="18"/>
        <v>1.9407608695652172</v>
      </c>
      <c r="AN112" s="18">
        <f t="shared" si="18"/>
        <v>20.394927536231883</v>
      </c>
      <c r="AO112" s="14">
        <f t="shared" si="18"/>
        <v>4.6635869565217369E-2</v>
      </c>
      <c r="AP112" s="14">
        <f t="shared" si="18"/>
        <v>3.6965579710145136E-2</v>
      </c>
      <c r="AQ112" s="14">
        <f t="shared" si="18"/>
        <v>1.12336956521739E-2</v>
      </c>
      <c r="AR112" s="14">
        <f t="shared" si="18"/>
        <v>2.5139492753623094E-2</v>
      </c>
      <c r="AS112" s="14">
        <f t="shared" si="18"/>
        <v>2.7351449275362344E-2</v>
      </c>
      <c r="AT112" s="14">
        <f t="shared" si="18"/>
        <v>1.4465579710144838E-2</v>
      </c>
      <c r="AU112" s="14">
        <f t="shared" si="18"/>
        <v>6.3550724637681071E-3</v>
      </c>
      <c r="AV112" s="14">
        <f t="shared" si="18"/>
        <v>4.5851449275362346E-3</v>
      </c>
      <c r="AW112" s="14">
        <f t="shared" si="18"/>
        <v>-1.6648550724637501E-3</v>
      </c>
      <c r="AX112" s="14">
        <f t="shared" si="18"/>
        <v>-8.9200000000000945E-3</v>
      </c>
      <c r="AY112" s="13">
        <f t="shared" si="18"/>
        <v>14.02717391304347</v>
      </c>
      <c r="AZ112" s="13">
        <f t="shared" si="18"/>
        <v>-12.958333333333329</v>
      </c>
      <c r="BA112" s="18">
        <f t="shared" si="18"/>
        <v>1.9407608695652172</v>
      </c>
      <c r="BB112" s="29">
        <f t="shared" si="18"/>
        <v>2.3927536231884066</v>
      </c>
    </row>
    <row r="113" spans="2:54" s="44" customFormat="1" x14ac:dyDescent="0.2">
      <c r="B113" s="38" t="s">
        <v>206</v>
      </c>
      <c r="C113" s="39"/>
      <c r="D113" s="39"/>
      <c r="E113" s="39"/>
      <c r="F113" s="39"/>
      <c r="G113" s="39"/>
      <c r="H113" s="39"/>
      <c r="I113" s="39"/>
      <c r="J113" s="39"/>
      <c r="K113" s="39"/>
      <c r="L113" s="39"/>
      <c r="M113" s="39"/>
      <c r="N113" s="39"/>
      <c r="O113" s="39"/>
      <c r="P113" s="40">
        <f t="shared" si="16"/>
        <v>31.172222222222224</v>
      </c>
      <c r="Q113" s="41">
        <f t="shared" ref="Q113:BB113" si="19">Q99-Q106</f>
        <v>208</v>
      </c>
      <c r="R113" s="41">
        <f t="shared" si="19"/>
        <v>324</v>
      </c>
      <c r="S113" s="39">
        <f t="shared" si="19"/>
        <v>14.198000000000002</v>
      </c>
      <c r="T113" s="41">
        <f t="shared" si="19"/>
        <v>28</v>
      </c>
      <c r="U113" s="41">
        <f t="shared" si="19"/>
        <v>45</v>
      </c>
      <c r="V113" s="39">
        <f t="shared" si="19"/>
        <v>11.386000000000001</v>
      </c>
      <c r="W113" s="41">
        <f t="shared" si="19"/>
        <v>180</v>
      </c>
      <c r="X113" s="41">
        <f t="shared" si="19"/>
        <v>279</v>
      </c>
      <c r="Y113" s="39">
        <f t="shared" si="19"/>
        <v>14.709000000000005</v>
      </c>
      <c r="Z113" s="39">
        <f t="shared" si="19"/>
        <v>15.136000000000012</v>
      </c>
      <c r="AA113" s="41">
        <f t="shared" si="19"/>
        <v>141</v>
      </c>
      <c r="AB113" s="41">
        <f t="shared" si="19"/>
        <v>165</v>
      </c>
      <c r="AC113" s="39">
        <f t="shared" si="19"/>
        <v>18.036000000000001</v>
      </c>
      <c r="AD113" s="41">
        <f t="shared" si="19"/>
        <v>62</v>
      </c>
      <c r="AE113" s="41">
        <f t="shared" si="19"/>
        <v>250</v>
      </c>
      <c r="AF113" s="41">
        <f t="shared" si="19"/>
        <v>312</v>
      </c>
      <c r="AG113" s="41">
        <f t="shared" si="19"/>
        <v>270</v>
      </c>
      <c r="AH113" s="41">
        <f t="shared" si="19"/>
        <v>53</v>
      </c>
      <c r="AI113" s="41">
        <f t="shared" si="19"/>
        <v>21</v>
      </c>
      <c r="AJ113" s="41">
        <f t="shared" si="19"/>
        <v>64</v>
      </c>
      <c r="AK113" s="41">
        <f t="shared" si="19"/>
        <v>48</v>
      </c>
      <c r="AL113" s="41">
        <f t="shared" si="19"/>
        <v>585</v>
      </c>
      <c r="AM113" s="41">
        <f t="shared" si="19"/>
        <v>723.7</v>
      </c>
      <c r="AN113" s="41">
        <f t="shared" si="19"/>
        <v>830</v>
      </c>
      <c r="AO113" s="39">
        <f t="shared" si="19"/>
        <v>16.271999999999998</v>
      </c>
      <c r="AP113" s="39">
        <f t="shared" si="19"/>
        <v>15.136000000000012</v>
      </c>
      <c r="AQ113" s="39">
        <f t="shared" si="19"/>
        <v>2.3289999999999997</v>
      </c>
      <c r="AR113" s="39">
        <f t="shared" si="19"/>
        <v>7.0129999999999972</v>
      </c>
      <c r="AS113" s="39">
        <f t="shared" si="19"/>
        <v>5.0770000000000008</v>
      </c>
      <c r="AT113" s="39">
        <f t="shared" si="19"/>
        <v>9.9759999999999973</v>
      </c>
      <c r="AU113" s="39">
        <f t="shared" si="19"/>
        <v>0.72499999999999987</v>
      </c>
      <c r="AV113" s="39">
        <f t="shared" si="19"/>
        <v>0.4740000000000002</v>
      </c>
      <c r="AW113" s="39">
        <f t="shared" si="19"/>
        <v>2.8650000000000015</v>
      </c>
      <c r="AX113" s="39">
        <f t="shared" si="19"/>
        <v>5.7829999999999968</v>
      </c>
      <c r="AY113" s="41">
        <f t="shared" si="19"/>
        <v>3409</v>
      </c>
      <c r="AZ113" s="41">
        <f t="shared" si="19"/>
        <v>2032</v>
      </c>
      <c r="BA113" s="42">
        <f t="shared" si="19"/>
        <v>723.7</v>
      </c>
      <c r="BB113" s="43">
        <f t="shared" si="19"/>
        <v>369.29999999999995</v>
      </c>
    </row>
    <row r="114" spans="2:54" x14ac:dyDescent="0.2">
      <c r="P114" s="4"/>
    </row>
  </sheetData>
  <conditionalFormatting sqref="Q110:BB113">
    <cfRule type="cellIs" dxfId="1" priority="1" operator="less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108E3-E37D-9F46-8317-5D14A6D1387F}">
  <dimension ref="B1:Z108"/>
  <sheetViews>
    <sheetView workbookViewId="0">
      <selection activeCell="R24" sqref="R24"/>
    </sheetView>
  </sheetViews>
  <sheetFormatPr baseColWidth="10" defaultRowHeight="16" x14ac:dyDescent="0.2"/>
  <cols>
    <col min="1" max="1" width="2.7109375" customWidth="1"/>
    <col min="2" max="2" width="6.42578125" style="11" bestFit="1" customWidth="1"/>
    <col min="3" max="3" width="12.28515625" style="11" bestFit="1" customWidth="1"/>
    <col min="4" max="4" width="5.7109375" style="13" customWidth="1"/>
    <col min="5" max="5" width="4.85546875" style="11" bestFit="1" customWidth="1"/>
    <col min="7" max="7" width="15.7109375" bestFit="1" customWidth="1"/>
  </cols>
  <sheetData>
    <row r="1" spans="2:23" x14ac:dyDescent="0.2">
      <c r="B1" s="61" t="s">
        <v>161</v>
      </c>
      <c r="C1" s="61" t="s">
        <v>160</v>
      </c>
      <c r="D1" s="62" t="s">
        <v>146</v>
      </c>
      <c r="E1" s="61" t="s">
        <v>114</v>
      </c>
    </row>
    <row r="2" spans="2:23" x14ac:dyDescent="0.2">
      <c r="B2" s="2">
        <v>1</v>
      </c>
      <c r="C2" s="1">
        <v>1</v>
      </c>
      <c r="D2" s="19">
        <v>99</v>
      </c>
      <c r="E2" s="2">
        <v>-9</v>
      </c>
      <c r="G2" t="s">
        <v>220</v>
      </c>
      <c r="R2" t="s">
        <v>220</v>
      </c>
    </row>
    <row r="3" spans="2:23" ht="17" thickBot="1" x14ac:dyDescent="0.25">
      <c r="B3" s="2">
        <v>2</v>
      </c>
      <c r="C3" s="1">
        <v>2</v>
      </c>
      <c r="D3" s="19">
        <v>114</v>
      </c>
      <c r="E3" s="2">
        <v>7</v>
      </c>
    </row>
    <row r="4" spans="2:23" x14ac:dyDescent="0.2">
      <c r="B4" s="2">
        <v>3</v>
      </c>
      <c r="C4" s="1">
        <v>3</v>
      </c>
      <c r="D4" s="19">
        <v>112</v>
      </c>
      <c r="E4" s="2">
        <v>9</v>
      </c>
      <c r="G4" s="69" t="s">
        <v>221</v>
      </c>
      <c r="H4" s="69"/>
      <c r="R4" s="69" t="s">
        <v>221</v>
      </c>
      <c r="S4" s="69"/>
    </row>
    <row r="5" spans="2:23" x14ac:dyDescent="0.2">
      <c r="B5" s="2">
        <v>4</v>
      </c>
      <c r="C5" s="1">
        <v>4</v>
      </c>
      <c r="D5" s="19">
        <v>129</v>
      </c>
      <c r="E5" s="2">
        <v>8</v>
      </c>
      <c r="G5" s="66" t="s">
        <v>222</v>
      </c>
      <c r="H5" s="66">
        <v>0.60116960285715004</v>
      </c>
      <c r="R5" s="66" t="s">
        <v>222</v>
      </c>
      <c r="S5" s="66">
        <v>0.60116960285715026</v>
      </c>
    </row>
    <row r="6" spans="2:23" x14ac:dyDescent="0.2">
      <c r="B6" s="2">
        <v>5</v>
      </c>
      <c r="C6" s="1">
        <v>5</v>
      </c>
      <c r="D6" s="19">
        <v>115</v>
      </c>
      <c r="E6" s="2">
        <v>6</v>
      </c>
      <c r="G6" s="66" t="s">
        <v>223</v>
      </c>
      <c r="H6" s="70">
        <v>0.36140489139942356</v>
      </c>
      <c r="R6" s="66" t="s">
        <v>223</v>
      </c>
      <c r="S6" s="66">
        <v>0.36140489139942383</v>
      </c>
    </row>
    <row r="7" spans="2:23" x14ac:dyDescent="0.2">
      <c r="B7" s="2">
        <v>6</v>
      </c>
      <c r="C7" s="1">
        <v>6</v>
      </c>
      <c r="D7" s="19">
        <v>95</v>
      </c>
      <c r="E7" s="2">
        <v>31</v>
      </c>
      <c r="G7" s="66" t="s">
        <v>224</v>
      </c>
      <c r="H7" s="66">
        <v>0.35201378686117979</v>
      </c>
      <c r="R7" s="66" t="s">
        <v>224</v>
      </c>
      <c r="S7" s="66">
        <v>0.35201378686118007</v>
      </c>
    </row>
    <row r="8" spans="2:23" x14ac:dyDescent="0.2">
      <c r="B8" s="2">
        <v>7</v>
      </c>
      <c r="C8" s="1">
        <v>7</v>
      </c>
      <c r="D8" s="19">
        <v>113</v>
      </c>
      <c r="E8" s="2">
        <v>-1</v>
      </c>
      <c r="G8" s="66" t="s">
        <v>225</v>
      </c>
      <c r="H8" s="66">
        <v>11.470977599096178</v>
      </c>
      <c r="R8" s="66" t="s">
        <v>225</v>
      </c>
      <c r="S8" s="66">
        <v>10.386667530886131</v>
      </c>
    </row>
    <row r="9" spans="2:23" ht="17" thickBot="1" x14ac:dyDescent="0.25">
      <c r="B9" s="2">
        <v>8</v>
      </c>
      <c r="C9" s="1">
        <v>8</v>
      </c>
      <c r="D9" s="19">
        <v>105</v>
      </c>
      <c r="E9" s="2">
        <v>8</v>
      </c>
      <c r="G9" s="67" t="s">
        <v>226</v>
      </c>
      <c r="H9" s="67">
        <v>70</v>
      </c>
      <c r="R9" s="67" t="s">
        <v>226</v>
      </c>
      <c r="S9" s="67">
        <v>70</v>
      </c>
    </row>
    <row r="10" spans="2:23" x14ac:dyDescent="0.2">
      <c r="B10" s="2">
        <v>9</v>
      </c>
      <c r="C10" s="1">
        <v>9</v>
      </c>
      <c r="D10" s="19">
        <v>117</v>
      </c>
      <c r="E10" s="2">
        <v>26</v>
      </c>
    </row>
    <row r="11" spans="2:23" ht="17" thickBot="1" x14ac:dyDescent="0.25">
      <c r="B11" s="2">
        <v>10</v>
      </c>
      <c r="C11" s="1">
        <v>10</v>
      </c>
      <c r="D11" s="19">
        <v>117</v>
      </c>
      <c r="E11" s="2">
        <v>13</v>
      </c>
      <c r="G11" t="s">
        <v>227</v>
      </c>
      <c r="R11" t="s">
        <v>227</v>
      </c>
    </row>
    <row r="12" spans="2:23" x14ac:dyDescent="0.2">
      <c r="B12" s="2">
        <v>14</v>
      </c>
      <c r="C12" s="1">
        <v>11</v>
      </c>
      <c r="D12" s="19">
        <v>121</v>
      </c>
      <c r="E12" s="2">
        <v>4</v>
      </c>
      <c r="G12" s="68"/>
      <c r="H12" s="68" t="s">
        <v>231</v>
      </c>
      <c r="I12" s="68" t="s">
        <v>232</v>
      </c>
      <c r="J12" s="68" t="s">
        <v>233</v>
      </c>
      <c r="K12" s="68" t="s">
        <v>234</v>
      </c>
      <c r="L12" s="68" t="s">
        <v>235</v>
      </c>
      <c r="R12" s="68"/>
      <c r="S12" s="68" t="s">
        <v>231</v>
      </c>
      <c r="T12" s="68" t="s">
        <v>232</v>
      </c>
      <c r="U12" s="68" t="s">
        <v>233</v>
      </c>
      <c r="V12" s="68" t="s">
        <v>234</v>
      </c>
      <c r="W12" s="68" t="s">
        <v>235</v>
      </c>
    </row>
    <row r="13" spans="2:23" x14ac:dyDescent="0.2">
      <c r="B13" s="2">
        <v>15</v>
      </c>
      <c r="C13" s="1">
        <v>12</v>
      </c>
      <c r="D13" s="19">
        <v>95</v>
      </c>
      <c r="E13" s="2">
        <v>39</v>
      </c>
      <c r="G13" s="66" t="s">
        <v>228</v>
      </c>
      <c r="H13" s="66">
        <v>1</v>
      </c>
      <c r="I13" s="66">
        <v>5063.8194729160023</v>
      </c>
      <c r="J13" s="66">
        <v>5063.8194729160023</v>
      </c>
      <c r="K13" s="66">
        <v>38.483747031849127</v>
      </c>
      <c r="L13" s="66">
        <v>3.7359450492496655E-8</v>
      </c>
      <c r="R13" s="66" t="s">
        <v>228</v>
      </c>
      <c r="S13" s="66">
        <v>1</v>
      </c>
      <c r="T13" s="66">
        <v>4151.7367855642606</v>
      </c>
      <c r="U13" s="66">
        <v>4151.7367855642606</v>
      </c>
      <c r="V13" s="66">
        <v>38.48374703184917</v>
      </c>
      <c r="W13" s="66">
        <v>3.7359450492496172E-8</v>
      </c>
    </row>
    <row r="14" spans="2:23" x14ac:dyDescent="0.2">
      <c r="B14" s="2">
        <v>16</v>
      </c>
      <c r="C14" s="1">
        <v>13</v>
      </c>
      <c r="D14" s="19">
        <v>144</v>
      </c>
      <c r="E14" s="2">
        <v>-20</v>
      </c>
      <c r="G14" s="66" t="s">
        <v>229</v>
      </c>
      <c r="H14" s="66">
        <v>68</v>
      </c>
      <c r="I14" s="66">
        <v>8947.6662413697086</v>
      </c>
      <c r="J14" s="66">
        <v>131.58332707896631</v>
      </c>
      <c r="K14" s="66"/>
      <c r="L14" s="66"/>
      <c r="R14" s="66" t="s">
        <v>229</v>
      </c>
      <c r="S14" s="66">
        <v>68</v>
      </c>
      <c r="T14" s="66">
        <v>7336.0346430071659</v>
      </c>
      <c r="U14" s="66">
        <v>107.8828623971642</v>
      </c>
      <c r="V14" s="66"/>
      <c r="W14" s="66"/>
    </row>
    <row r="15" spans="2:23" ht="17" thickBot="1" x14ac:dyDescent="0.25">
      <c r="B15" s="2">
        <v>17</v>
      </c>
      <c r="C15" s="1">
        <v>14</v>
      </c>
      <c r="D15" s="19">
        <v>107</v>
      </c>
      <c r="E15" s="2">
        <v>20</v>
      </c>
      <c r="G15" s="67" t="s">
        <v>206</v>
      </c>
      <c r="H15" s="67">
        <v>69</v>
      </c>
      <c r="I15" s="67">
        <v>14011.485714285711</v>
      </c>
      <c r="J15" s="67"/>
      <c r="K15" s="67"/>
      <c r="L15" s="67"/>
      <c r="R15" s="67" t="s">
        <v>206</v>
      </c>
      <c r="S15" s="67">
        <v>69</v>
      </c>
      <c r="T15" s="67">
        <v>11487.771428571426</v>
      </c>
      <c r="U15" s="67"/>
      <c r="V15" s="67"/>
      <c r="W15" s="67"/>
    </row>
    <row r="16" spans="2:23" ht="17" thickBot="1" x14ac:dyDescent="0.25">
      <c r="B16" s="2">
        <v>18</v>
      </c>
      <c r="C16" s="1">
        <v>15</v>
      </c>
      <c r="D16" s="19">
        <v>120</v>
      </c>
      <c r="E16" s="2">
        <v>-7</v>
      </c>
    </row>
    <row r="17" spans="2:26" x14ac:dyDescent="0.2">
      <c r="B17" s="2">
        <v>19</v>
      </c>
      <c r="C17" s="1">
        <v>16</v>
      </c>
      <c r="D17" s="19">
        <v>100</v>
      </c>
      <c r="E17" s="2">
        <v>23</v>
      </c>
      <c r="G17" s="68"/>
      <c r="H17" s="68" t="s">
        <v>236</v>
      </c>
      <c r="I17" s="68" t="s">
        <v>225</v>
      </c>
      <c r="J17" s="68" t="s">
        <v>237</v>
      </c>
      <c r="K17" s="68" t="s">
        <v>238</v>
      </c>
      <c r="L17" s="68" t="s">
        <v>239</v>
      </c>
      <c r="M17" s="68" t="s">
        <v>240</v>
      </c>
      <c r="N17" s="68" t="s">
        <v>241</v>
      </c>
      <c r="O17" s="68" t="s">
        <v>242</v>
      </c>
      <c r="S17" t="s">
        <v>236</v>
      </c>
      <c r="T17" t="s">
        <v>225</v>
      </c>
      <c r="U17" t="s">
        <v>237</v>
      </c>
      <c r="V17" t="s">
        <v>238</v>
      </c>
      <c r="W17" t="s">
        <v>239</v>
      </c>
      <c r="X17" t="s">
        <v>240</v>
      </c>
      <c r="Y17" t="s">
        <v>241</v>
      </c>
      <c r="Z17" t="s">
        <v>242</v>
      </c>
    </row>
    <row r="18" spans="2:26" x14ac:dyDescent="0.2">
      <c r="B18" s="2">
        <v>20</v>
      </c>
      <c r="C18" s="1">
        <v>17</v>
      </c>
      <c r="D18" s="19">
        <v>108</v>
      </c>
      <c r="E18" s="2">
        <v>-8</v>
      </c>
      <c r="G18" s="66" t="s">
        <v>230</v>
      </c>
      <c r="H18" s="66">
        <v>82.143822499452796</v>
      </c>
      <c r="I18" s="66">
        <v>11.952480709766219</v>
      </c>
      <c r="J18" s="66">
        <v>6.872533367264432</v>
      </c>
      <c r="K18" s="66">
        <v>2.4048421509910745E-9</v>
      </c>
      <c r="L18" s="66">
        <v>58.293018589599797</v>
      </c>
      <c r="M18" s="66">
        <v>105.99462640930579</v>
      </c>
      <c r="N18" s="66">
        <v>58.293018589599797</v>
      </c>
      <c r="O18" s="66">
        <v>105.99462640930579</v>
      </c>
      <c r="R18" t="s">
        <v>230</v>
      </c>
      <c r="S18">
        <v>115.5619981158315</v>
      </c>
      <c r="T18">
        <v>1.447622760160342</v>
      </c>
      <c r="U18">
        <v>79.828807128613803</v>
      </c>
      <c r="V18">
        <v>6.1382896504198398E-69</v>
      </c>
      <c r="W18">
        <v>112.67331187350082</v>
      </c>
      <c r="X18">
        <v>118.45068435816218</v>
      </c>
      <c r="Y18">
        <v>112.67331187350082</v>
      </c>
      <c r="Z18">
        <v>118.45068435816218</v>
      </c>
    </row>
    <row r="19" spans="2:26" ht="17" thickBot="1" x14ac:dyDescent="0.25">
      <c r="B19" s="2">
        <v>21</v>
      </c>
      <c r="C19" s="1">
        <v>18</v>
      </c>
      <c r="D19" s="19">
        <v>118</v>
      </c>
      <c r="E19" s="2">
        <v>-1</v>
      </c>
      <c r="G19" s="67" t="s">
        <v>146</v>
      </c>
      <c r="H19" s="67">
        <v>-0.66392835114108895</v>
      </c>
      <c r="I19" s="67">
        <v>0.10702433517808153</v>
      </c>
      <c r="J19" s="67">
        <v>-6.2035269832450286</v>
      </c>
      <c r="K19" s="67">
        <v>3.7359450492496172E-8</v>
      </c>
      <c r="L19" s="67">
        <v>-0.87749208689588465</v>
      </c>
      <c r="M19" s="67">
        <v>-0.4503646153862933</v>
      </c>
      <c r="N19" s="67">
        <v>-0.87749208689588465</v>
      </c>
      <c r="O19" s="67">
        <v>-0.4503646153862933</v>
      </c>
      <c r="R19" t="s">
        <v>114</v>
      </c>
      <c r="S19">
        <v>-0.54434321230337535</v>
      </c>
      <c r="T19">
        <v>8.7747375609645947E-2</v>
      </c>
      <c r="U19">
        <v>-6.2035269832450286</v>
      </c>
      <c r="V19">
        <v>3.7359450492496172E-8</v>
      </c>
      <c r="W19">
        <v>-0.71944037414692852</v>
      </c>
      <c r="X19">
        <v>-0.36924605045982212</v>
      </c>
      <c r="Y19">
        <v>-0.71944037414692852</v>
      </c>
      <c r="Z19">
        <v>-0.36924605045982212</v>
      </c>
    </row>
    <row r="20" spans="2:26" x14ac:dyDescent="0.2">
      <c r="B20" s="2">
        <v>22</v>
      </c>
      <c r="C20" s="1">
        <v>19</v>
      </c>
      <c r="D20" s="19">
        <v>94</v>
      </c>
      <c r="E20" s="2">
        <v>25</v>
      </c>
    </row>
    <row r="21" spans="2:26" x14ac:dyDescent="0.2">
      <c r="B21" s="2">
        <v>23</v>
      </c>
      <c r="C21" s="1">
        <v>20</v>
      </c>
      <c r="D21" s="19">
        <v>93</v>
      </c>
      <c r="E21" s="2">
        <v>14</v>
      </c>
    </row>
    <row r="22" spans="2:26" x14ac:dyDescent="0.2">
      <c r="B22" s="2">
        <v>24</v>
      </c>
      <c r="C22" s="1">
        <v>21</v>
      </c>
      <c r="D22" s="19">
        <v>113</v>
      </c>
      <c r="E22" s="2">
        <v>4</v>
      </c>
    </row>
    <row r="23" spans="2:26" x14ac:dyDescent="0.2">
      <c r="B23" s="2">
        <v>25</v>
      </c>
      <c r="C23" s="1">
        <v>22</v>
      </c>
      <c r="D23" s="19">
        <v>128</v>
      </c>
      <c r="E23" s="2">
        <v>-5</v>
      </c>
    </row>
    <row r="24" spans="2:26" x14ac:dyDescent="0.2">
      <c r="B24" s="2">
        <v>26</v>
      </c>
      <c r="C24" s="1">
        <v>23</v>
      </c>
      <c r="D24" s="19">
        <v>108</v>
      </c>
      <c r="E24" s="2">
        <v>6</v>
      </c>
    </row>
    <row r="25" spans="2:26" x14ac:dyDescent="0.2">
      <c r="B25" s="2">
        <v>27</v>
      </c>
      <c r="C25" s="1">
        <v>24</v>
      </c>
      <c r="D25" s="19">
        <v>104</v>
      </c>
      <c r="E25" s="2">
        <v>19</v>
      </c>
    </row>
    <row r="26" spans="2:26" x14ac:dyDescent="0.2">
      <c r="B26" s="2">
        <v>28</v>
      </c>
      <c r="C26" s="1">
        <v>25</v>
      </c>
      <c r="D26" s="19">
        <v>112</v>
      </c>
      <c r="E26" s="2">
        <v>-3</v>
      </c>
    </row>
    <row r="27" spans="2:26" x14ac:dyDescent="0.2">
      <c r="B27" s="2">
        <v>29</v>
      </c>
      <c r="C27" s="1">
        <v>26</v>
      </c>
      <c r="D27" s="19">
        <v>134</v>
      </c>
      <c r="E27" s="2">
        <v>-15</v>
      </c>
    </row>
    <row r="28" spans="2:26" x14ac:dyDescent="0.2">
      <c r="B28" s="2">
        <v>30</v>
      </c>
      <c r="C28" s="1">
        <v>27</v>
      </c>
      <c r="D28" s="19">
        <v>123</v>
      </c>
      <c r="E28" s="2">
        <v>25</v>
      </c>
    </row>
    <row r="29" spans="2:26" x14ac:dyDescent="0.2">
      <c r="B29" s="2">
        <v>31</v>
      </c>
      <c r="C29" s="1">
        <v>28</v>
      </c>
      <c r="D29" s="19">
        <v>110</v>
      </c>
      <c r="E29" s="2">
        <v>20</v>
      </c>
    </row>
    <row r="30" spans="2:26" x14ac:dyDescent="0.2">
      <c r="B30" s="2">
        <v>32</v>
      </c>
      <c r="C30" s="1">
        <v>29</v>
      </c>
      <c r="D30" s="19">
        <v>104</v>
      </c>
      <c r="E30" s="2">
        <v>31</v>
      </c>
    </row>
    <row r="31" spans="2:26" x14ac:dyDescent="0.2">
      <c r="B31" s="2">
        <v>33</v>
      </c>
      <c r="C31" s="1">
        <v>30</v>
      </c>
      <c r="D31" s="19">
        <v>103</v>
      </c>
      <c r="E31" s="2">
        <v>7</v>
      </c>
    </row>
    <row r="32" spans="2:26" x14ac:dyDescent="0.2">
      <c r="B32" s="2">
        <v>34</v>
      </c>
      <c r="C32" s="1">
        <v>31</v>
      </c>
      <c r="D32" s="19">
        <v>102</v>
      </c>
      <c r="E32" s="2">
        <v>7</v>
      </c>
    </row>
    <row r="33" spans="2:5" x14ac:dyDescent="0.2">
      <c r="B33" s="2">
        <v>37</v>
      </c>
      <c r="C33" s="1">
        <v>32</v>
      </c>
      <c r="D33" s="19">
        <v>97</v>
      </c>
      <c r="E33" s="2">
        <v>33</v>
      </c>
    </row>
    <row r="34" spans="2:5" x14ac:dyDescent="0.2">
      <c r="B34" s="2">
        <v>38</v>
      </c>
      <c r="C34" s="1">
        <v>33</v>
      </c>
      <c r="D34" s="19">
        <v>94</v>
      </c>
      <c r="E34" s="2">
        <v>-2</v>
      </c>
    </row>
    <row r="35" spans="2:5" x14ac:dyDescent="0.2">
      <c r="B35" s="2">
        <v>39</v>
      </c>
      <c r="C35" s="1">
        <v>34</v>
      </c>
      <c r="D35" s="19">
        <v>92</v>
      </c>
      <c r="E35" s="2">
        <v>23</v>
      </c>
    </row>
    <row r="36" spans="2:5" x14ac:dyDescent="0.2">
      <c r="B36" s="2">
        <v>41</v>
      </c>
      <c r="C36" s="1">
        <v>35</v>
      </c>
      <c r="D36" s="19">
        <v>112</v>
      </c>
      <c r="E36" s="2">
        <v>6</v>
      </c>
    </row>
    <row r="37" spans="2:5" x14ac:dyDescent="0.2">
      <c r="B37" s="2">
        <v>42</v>
      </c>
      <c r="C37" s="1">
        <v>36</v>
      </c>
      <c r="D37" s="19">
        <v>82</v>
      </c>
      <c r="E37" s="2">
        <v>20</v>
      </c>
    </row>
    <row r="38" spans="2:5" x14ac:dyDescent="0.2">
      <c r="B38" s="2">
        <v>43</v>
      </c>
      <c r="C38" s="1">
        <v>37</v>
      </c>
      <c r="D38" s="19">
        <v>98</v>
      </c>
      <c r="E38" s="2">
        <v>21</v>
      </c>
    </row>
    <row r="39" spans="2:5" x14ac:dyDescent="0.2">
      <c r="B39" s="2">
        <v>44</v>
      </c>
      <c r="C39" s="1">
        <v>38</v>
      </c>
      <c r="D39" s="19">
        <v>102</v>
      </c>
      <c r="E39" s="2">
        <v>11</v>
      </c>
    </row>
    <row r="40" spans="2:5" x14ac:dyDescent="0.2">
      <c r="B40" s="2">
        <v>45</v>
      </c>
      <c r="C40" s="1">
        <v>39</v>
      </c>
      <c r="D40" s="19">
        <v>142</v>
      </c>
      <c r="E40" s="2">
        <v>-24</v>
      </c>
    </row>
    <row r="41" spans="2:5" x14ac:dyDescent="0.2">
      <c r="B41" s="2">
        <v>46</v>
      </c>
      <c r="C41" s="1">
        <v>40</v>
      </c>
      <c r="D41" s="19">
        <v>123</v>
      </c>
      <c r="E41" s="2">
        <v>1</v>
      </c>
    </row>
    <row r="42" spans="2:5" x14ac:dyDescent="0.2">
      <c r="B42" s="2">
        <v>47</v>
      </c>
      <c r="C42" s="1">
        <v>41</v>
      </c>
      <c r="D42" s="19">
        <v>119</v>
      </c>
      <c r="E42" s="2">
        <v>-3</v>
      </c>
    </row>
    <row r="43" spans="2:5" x14ac:dyDescent="0.2">
      <c r="B43" s="2">
        <v>48</v>
      </c>
      <c r="C43" s="1">
        <v>42</v>
      </c>
      <c r="D43" s="19">
        <v>133</v>
      </c>
      <c r="E43" s="2">
        <v>0</v>
      </c>
    </row>
    <row r="44" spans="2:5" x14ac:dyDescent="0.2">
      <c r="B44" s="2">
        <v>49</v>
      </c>
      <c r="C44" s="1">
        <v>43</v>
      </c>
      <c r="D44" s="19">
        <v>93</v>
      </c>
      <c r="E44" s="2">
        <v>-2</v>
      </c>
    </row>
    <row r="45" spans="2:5" x14ac:dyDescent="0.2">
      <c r="B45" s="2">
        <v>50</v>
      </c>
      <c r="C45" s="1">
        <v>44</v>
      </c>
      <c r="D45" s="19">
        <v>112</v>
      </c>
      <c r="E45" s="2">
        <v>11</v>
      </c>
    </row>
    <row r="46" spans="2:5" x14ac:dyDescent="0.2">
      <c r="B46" s="2">
        <v>51</v>
      </c>
      <c r="C46" s="1">
        <v>45</v>
      </c>
      <c r="D46" s="19">
        <v>117</v>
      </c>
      <c r="E46" s="2">
        <v>24</v>
      </c>
    </row>
    <row r="47" spans="2:5" x14ac:dyDescent="0.2">
      <c r="B47" s="2">
        <v>52</v>
      </c>
      <c r="C47" s="1">
        <v>46</v>
      </c>
      <c r="D47" s="19">
        <v>84</v>
      </c>
      <c r="E47" s="2">
        <v>22</v>
      </c>
    </row>
    <row r="48" spans="2:5" x14ac:dyDescent="0.2">
      <c r="B48" s="2">
        <v>53</v>
      </c>
      <c r="C48" s="1">
        <v>47</v>
      </c>
      <c r="D48" s="19">
        <v>115</v>
      </c>
      <c r="E48" s="2">
        <v>19</v>
      </c>
    </row>
    <row r="49" spans="2:5" x14ac:dyDescent="0.2">
      <c r="B49" s="2">
        <v>54</v>
      </c>
      <c r="C49" s="1">
        <v>48</v>
      </c>
      <c r="D49" s="19">
        <v>107</v>
      </c>
      <c r="E49" s="2">
        <v>22</v>
      </c>
    </row>
    <row r="50" spans="2:5" x14ac:dyDescent="0.2">
      <c r="B50" s="2">
        <v>55</v>
      </c>
      <c r="C50" s="1">
        <v>49</v>
      </c>
      <c r="D50" s="19">
        <v>110</v>
      </c>
      <c r="E50" s="2">
        <v>6</v>
      </c>
    </row>
    <row r="51" spans="2:5" x14ac:dyDescent="0.2">
      <c r="B51" s="2">
        <v>56</v>
      </c>
      <c r="C51" s="1">
        <v>50</v>
      </c>
      <c r="D51" s="19">
        <v>106</v>
      </c>
      <c r="E51" s="2">
        <v>14</v>
      </c>
    </row>
    <row r="52" spans="2:5" x14ac:dyDescent="0.2">
      <c r="B52" s="2">
        <v>57</v>
      </c>
      <c r="C52" s="1">
        <v>51</v>
      </c>
      <c r="D52" s="19">
        <v>124</v>
      </c>
      <c r="E52" s="2">
        <v>-11</v>
      </c>
    </row>
    <row r="53" spans="2:5" x14ac:dyDescent="0.2">
      <c r="B53" s="2">
        <v>58</v>
      </c>
      <c r="C53" s="1">
        <v>52</v>
      </c>
      <c r="D53" s="19">
        <v>104</v>
      </c>
      <c r="E53" s="2">
        <v>17</v>
      </c>
    </row>
    <row r="54" spans="2:5" x14ac:dyDescent="0.2">
      <c r="B54" s="2">
        <v>59</v>
      </c>
      <c r="C54" s="1">
        <v>53</v>
      </c>
      <c r="D54" s="19">
        <v>113</v>
      </c>
      <c r="E54" s="2">
        <v>-5</v>
      </c>
    </row>
    <row r="55" spans="2:5" x14ac:dyDescent="0.2">
      <c r="B55" s="2">
        <v>60</v>
      </c>
      <c r="C55" s="1">
        <v>54</v>
      </c>
      <c r="D55" s="19">
        <v>101</v>
      </c>
      <c r="E55" s="2">
        <v>33</v>
      </c>
    </row>
    <row r="56" spans="2:5" x14ac:dyDescent="0.2">
      <c r="B56" s="2">
        <v>61</v>
      </c>
      <c r="C56" s="1">
        <v>55</v>
      </c>
      <c r="D56" s="19">
        <v>114</v>
      </c>
      <c r="E56" s="2">
        <v>0</v>
      </c>
    </row>
    <row r="57" spans="2:5" x14ac:dyDescent="0.2">
      <c r="B57" s="2">
        <v>62</v>
      </c>
      <c r="C57" s="1">
        <v>56</v>
      </c>
      <c r="D57" s="19">
        <v>109</v>
      </c>
      <c r="E57" s="2">
        <v>-7</v>
      </c>
    </row>
    <row r="58" spans="2:5" x14ac:dyDescent="0.2">
      <c r="B58" s="2">
        <v>63</v>
      </c>
      <c r="C58" s="1">
        <v>57</v>
      </c>
      <c r="D58" s="19">
        <v>125</v>
      </c>
      <c r="E58" s="2">
        <v>8</v>
      </c>
    </row>
    <row r="59" spans="2:5" x14ac:dyDescent="0.2">
      <c r="B59" s="2">
        <v>64</v>
      </c>
      <c r="C59" s="1">
        <v>58</v>
      </c>
      <c r="D59" s="19">
        <v>122</v>
      </c>
      <c r="E59" s="2">
        <v>-13</v>
      </c>
    </row>
    <row r="60" spans="2:5" x14ac:dyDescent="0.2">
      <c r="B60" s="2">
        <v>65</v>
      </c>
      <c r="C60" s="1">
        <v>59</v>
      </c>
      <c r="D60" s="19">
        <v>119</v>
      </c>
      <c r="E60" s="2">
        <v>8</v>
      </c>
    </row>
    <row r="61" spans="2:5" x14ac:dyDescent="0.2">
      <c r="B61" s="2">
        <v>66</v>
      </c>
      <c r="C61" s="1">
        <v>60</v>
      </c>
      <c r="D61" s="19">
        <v>123</v>
      </c>
      <c r="E61" s="2">
        <v>-24</v>
      </c>
    </row>
    <row r="62" spans="2:5" x14ac:dyDescent="0.2">
      <c r="B62" s="2">
        <v>67</v>
      </c>
      <c r="C62" s="1">
        <v>61</v>
      </c>
      <c r="D62" s="19">
        <v>120</v>
      </c>
      <c r="E62" s="2">
        <v>2</v>
      </c>
    </row>
    <row r="63" spans="2:5" x14ac:dyDescent="0.2">
      <c r="B63" s="2">
        <v>68</v>
      </c>
      <c r="C63" s="1">
        <v>62</v>
      </c>
      <c r="D63" s="19">
        <v>118</v>
      </c>
      <c r="E63" s="2">
        <v>6</v>
      </c>
    </row>
    <row r="64" spans="2:5" x14ac:dyDescent="0.2">
      <c r="B64" s="2">
        <v>74</v>
      </c>
      <c r="C64" s="1">
        <v>63</v>
      </c>
      <c r="D64" s="19">
        <v>122</v>
      </c>
      <c r="E64" s="2">
        <v>14</v>
      </c>
    </row>
    <row r="65" spans="2:5" x14ac:dyDescent="0.2">
      <c r="B65" s="2">
        <v>75</v>
      </c>
      <c r="C65" s="1">
        <v>64</v>
      </c>
      <c r="D65" s="19">
        <v>80</v>
      </c>
      <c r="E65" s="2">
        <v>28</v>
      </c>
    </row>
    <row r="66" spans="2:5" x14ac:dyDescent="0.2">
      <c r="B66" s="2">
        <v>76</v>
      </c>
      <c r="C66" s="1">
        <v>65</v>
      </c>
      <c r="D66" s="19">
        <v>122</v>
      </c>
      <c r="E66" s="2">
        <v>2</v>
      </c>
    </row>
    <row r="67" spans="2:5" x14ac:dyDescent="0.2">
      <c r="B67" s="2">
        <v>78</v>
      </c>
      <c r="C67" s="1">
        <v>66</v>
      </c>
      <c r="D67" s="19">
        <v>116</v>
      </c>
      <c r="E67" s="2">
        <v>-4</v>
      </c>
    </row>
    <row r="68" spans="2:5" x14ac:dyDescent="0.2">
      <c r="B68" s="2">
        <v>79</v>
      </c>
      <c r="C68" s="1">
        <v>67</v>
      </c>
      <c r="D68" s="19">
        <v>115</v>
      </c>
      <c r="E68" s="2">
        <v>1</v>
      </c>
    </row>
    <row r="69" spans="2:5" x14ac:dyDescent="0.2">
      <c r="B69" s="2">
        <v>80</v>
      </c>
      <c r="C69" s="1">
        <v>68</v>
      </c>
      <c r="D69" s="19">
        <v>114</v>
      </c>
      <c r="E69" s="2">
        <v>9</v>
      </c>
    </row>
    <row r="70" spans="2:5" x14ac:dyDescent="0.2">
      <c r="B70" s="2">
        <v>81</v>
      </c>
      <c r="C70" s="1">
        <v>69</v>
      </c>
      <c r="D70" s="19">
        <v>102</v>
      </c>
      <c r="E70" s="2">
        <v>11</v>
      </c>
    </row>
    <row r="71" spans="2:5" x14ac:dyDescent="0.2">
      <c r="B71" s="2">
        <v>82</v>
      </c>
      <c r="C71" s="1">
        <v>70</v>
      </c>
      <c r="D71" s="19">
        <v>108</v>
      </c>
      <c r="E71" s="2">
        <v>34</v>
      </c>
    </row>
    <row r="72" spans="2:5" x14ac:dyDescent="0.2">
      <c r="B72" s="2"/>
      <c r="C72"/>
      <c r="D72"/>
      <c r="E72"/>
    </row>
    <row r="73" spans="2:5" x14ac:dyDescent="0.2">
      <c r="B73" s="31"/>
      <c r="C73"/>
      <c r="D73"/>
      <c r="E73"/>
    </row>
    <row r="74" spans="2:5" x14ac:dyDescent="0.2">
      <c r="B74" s="2"/>
      <c r="C74"/>
      <c r="D74"/>
      <c r="E74"/>
    </row>
    <row r="75" spans="2:5" x14ac:dyDescent="0.2">
      <c r="C75"/>
      <c r="D75"/>
      <c r="E75"/>
    </row>
    <row r="76" spans="2:5" x14ac:dyDescent="0.2">
      <c r="C76"/>
      <c r="D76"/>
      <c r="E76"/>
    </row>
    <row r="77" spans="2:5" x14ac:dyDescent="0.2">
      <c r="C77"/>
      <c r="D77"/>
      <c r="E77"/>
    </row>
    <row r="78" spans="2:5" x14ac:dyDescent="0.2">
      <c r="B78"/>
      <c r="C78"/>
      <c r="D78"/>
      <c r="E78"/>
    </row>
    <row r="79" spans="2:5" x14ac:dyDescent="0.2">
      <c r="B79"/>
      <c r="C79"/>
      <c r="D79"/>
      <c r="E79"/>
    </row>
    <row r="80" spans="2:5" x14ac:dyDescent="0.2">
      <c r="B80"/>
      <c r="C80"/>
      <c r="D80"/>
      <c r="E80"/>
    </row>
    <row r="81" customFormat="1" x14ac:dyDescent="0.2"/>
    <row r="82" customFormat="1" x14ac:dyDescent="0.2"/>
    <row r="83" customFormat="1" x14ac:dyDescent="0.2"/>
    <row r="84" customFormat="1" x14ac:dyDescent="0.2"/>
    <row r="85" customFormat="1" x14ac:dyDescent="0.2"/>
    <row r="86" customFormat="1" x14ac:dyDescent="0.2"/>
    <row r="87" customFormat="1" x14ac:dyDescent="0.2"/>
    <row r="88" customFormat="1" x14ac:dyDescent="0.2"/>
    <row r="89" customFormat="1" x14ac:dyDescent="0.2"/>
    <row r="90" customFormat="1" x14ac:dyDescent="0.2"/>
    <row r="91" customFormat="1" x14ac:dyDescent="0.2"/>
    <row r="92" customFormat="1" x14ac:dyDescent="0.2"/>
    <row r="93" customFormat="1" x14ac:dyDescent="0.2"/>
    <row r="94" customFormat="1" x14ac:dyDescent="0.2"/>
    <row r="95" customFormat="1" x14ac:dyDescent="0.2"/>
    <row r="96" customFormat="1" x14ac:dyDescent="0.2"/>
    <row r="97" spans="2:5" x14ac:dyDescent="0.2">
      <c r="B97"/>
      <c r="C97"/>
      <c r="D97"/>
      <c r="E97"/>
    </row>
    <row r="98" spans="2:5" x14ac:dyDescent="0.2">
      <c r="B98"/>
      <c r="C98"/>
      <c r="D98"/>
      <c r="E98"/>
    </row>
    <row r="99" spans="2:5" x14ac:dyDescent="0.2">
      <c r="B99"/>
      <c r="C99"/>
      <c r="D99"/>
      <c r="E99"/>
    </row>
    <row r="100" spans="2:5" x14ac:dyDescent="0.2">
      <c r="B100"/>
    </row>
    <row r="101" spans="2:5" x14ac:dyDescent="0.2">
      <c r="B101"/>
    </row>
    <row r="102" spans="2:5" x14ac:dyDescent="0.2">
      <c r="B102"/>
    </row>
    <row r="103" spans="2:5" x14ac:dyDescent="0.2">
      <c r="B103"/>
    </row>
    <row r="104" spans="2:5" x14ac:dyDescent="0.2">
      <c r="B104"/>
    </row>
    <row r="105" spans="2:5" x14ac:dyDescent="0.2">
      <c r="B105"/>
    </row>
    <row r="106" spans="2:5" x14ac:dyDescent="0.2">
      <c r="B106"/>
    </row>
    <row r="107" spans="2:5" x14ac:dyDescent="0.2">
      <c r="B107"/>
    </row>
    <row r="108" spans="2:5" x14ac:dyDescent="0.2">
      <c r="B108"/>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E3FBC-DCE5-CC4C-87CF-E7CB7FF71A5B}">
  <dimension ref="A1:A27"/>
  <sheetViews>
    <sheetView tabSelected="1" workbookViewId="0">
      <selection activeCell="A24" sqref="A24"/>
    </sheetView>
  </sheetViews>
  <sheetFormatPr baseColWidth="10" defaultRowHeight="16" x14ac:dyDescent="0.2"/>
  <sheetData>
    <row r="1" spans="1:1" ht="18" x14ac:dyDescent="0.2">
      <c r="A1" s="5" t="s">
        <v>172</v>
      </c>
    </row>
    <row r="2" spans="1:1" ht="18" x14ac:dyDescent="0.2">
      <c r="A2" s="6" t="s">
        <v>173</v>
      </c>
    </row>
    <row r="3" spans="1:1" ht="18" x14ac:dyDescent="0.2">
      <c r="A3" s="5" t="s">
        <v>174</v>
      </c>
    </row>
    <row r="4" spans="1:1" ht="18" x14ac:dyDescent="0.2">
      <c r="A4" s="6" t="s">
        <v>175</v>
      </c>
    </row>
    <row r="5" spans="1:1" ht="18" x14ac:dyDescent="0.2">
      <c r="A5" s="5" t="s">
        <v>176</v>
      </c>
    </row>
    <row r="6" spans="1:1" ht="18" x14ac:dyDescent="0.2">
      <c r="A6" s="6" t="s">
        <v>177</v>
      </c>
    </row>
    <row r="7" spans="1:1" ht="18" x14ac:dyDescent="0.2">
      <c r="A7" s="5" t="s">
        <v>178</v>
      </c>
    </row>
    <row r="8" spans="1:1" ht="18" x14ac:dyDescent="0.2">
      <c r="A8" s="6" t="s">
        <v>179</v>
      </c>
    </row>
    <row r="9" spans="1:1" ht="18" x14ac:dyDescent="0.2">
      <c r="A9" s="5" t="s">
        <v>180</v>
      </c>
    </row>
    <row r="10" spans="1:1" ht="18" x14ac:dyDescent="0.2">
      <c r="A10" s="6" t="s">
        <v>181</v>
      </c>
    </row>
    <row r="11" spans="1:1" ht="18" x14ac:dyDescent="0.2">
      <c r="A11" s="5" t="s">
        <v>182</v>
      </c>
    </row>
    <row r="12" spans="1:1" ht="18" x14ac:dyDescent="0.2">
      <c r="A12" s="6" t="s">
        <v>183</v>
      </c>
    </row>
    <row r="13" spans="1:1" ht="18" x14ac:dyDescent="0.2">
      <c r="A13" s="5" t="s">
        <v>184</v>
      </c>
    </row>
    <row r="14" spans="1:1" ht="18" x14ac:dyDescent="0.2">
      <c r="A14" s="6" t="s">
        <v>185</v>
      </c>
    </row>
    <row r="15" spans="1:1" ht="18" x14ac:dyDescent="0.2">
      <c r="A15" s="5" t="s">
        <v>186</v>
      </c>
    </row>
    <row r="16" spans="1:1" ht="18" x14ac:dyDescent="0.2">
      <c r="A16" s="6" t="s">
        <v>187</v>
      </c>
    </row>
    <row r="17" spans="1:1" ht="18" x14ac:dyDescent="0.2">
      <c r="A17" s="5" t="s">
        <v>188</v>
      </c>
    </row>
    <row r="18" spans="1:1" ht="18" x14ac:dyDescent="0.2">
      <c r="A18" s="6" t="s">
        <v>189</v>
      </c>
    </row>
    <row r="19" spans="1:1" ht="18" x14ac:dyDescent="0.2">
      <c r="A19" s="5" t="s">
        <v>190</v>
      </c>
    </row>
    <row r="20" spans="1:1" ht="18" x14ac:dyDescent="0.2">
      <c r="A20" s="6" t="s">
        <v>191</v>
      </c>
    </row>
    <row r="21" spans="1:1" ht="18" x14ac:dyDescent="0.2">
      <c r="A21" s="5" t="s">
        <v>192</v>
      </c>
    </row>
    <row r="22" spans="1:1" ht="18" x14ac:dyDescent="0.2">
      <c r="A22" s="6" t="s">
        <v>193</v>
      </c>
    </row>
    <row r="23" spans="1:1" ht="18" x14ac:dyDescent="0.2">
      <c r="A23" s="5" t="s">
        <v>194</v>
      </c>
    </row>
    <row r="24" spans="1:1" ht="18" x14ac:dyDescent="0.2">
      <c r="A24" s="6" t="s">
        <v>195</v>
      </c>
    </row>
    <row r="25" spans="1:1" ht="18" x14ac:dyDescent="0.2">
      <c r="A25" s="5" t="s">
        <v>196</v>
      </c>
    </row>
    <row r="26" spans="1:1" ht="18" x14ac:dyDescent="0.2">
      <c r="A26" s="5" t="s">
        <v>197</v>
      </c>
    </row>
    <row r="27" spans="1:1" ht="18" x14ac:dyDescent="0.2">
      <c r="A27" s="6"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029D7-87B9-6549-85D0-5B8988559E61}">
  <dimension ref="A3:F75"/>
  <sheetViews>
    <sheetView workbookViewId="0">
      <selection activeCell="AO17" sqref="AO17"/>
    </sheetView>
  </sheetViews>
  <sheetFormatPr baseColWidth="10" defaultRowHeight="16" x14ac:dyDescent="0.2"/>
  <cols>
    <col min="1" max="1" width="12.28515625" bestFit="1" customWidth="1"/>
    <col min="2" max="2" width="14.85546875" bestFit="1" customWidth="1"/>
    <col min="3" max="3" width="5" bestFit="1" customWidth="1"/>
    <col min="4" max="4" width="13" bestFit="1" customWidth="1"/>
    <col min="5" max="6" width="3" bestFit="1" customWidth="1"/>
    <col min="7" max="10" width="2" bestFit="1" customWidth="1"/>
    <col min="11" max="71" width="3" bestFit="1" customWidth="1"/>
    <col min="72" max="72" width="10.42578125" bestFit="1" customWidth="1"/>
  </cols>
  <sheetData>
    <row r="3" spans="1:6" x14ac:dyDescent="0.2">
      <c r="A3" s="7" t="s">
        <v>207</v>
      </c>
      <c r="B3" s="7" t="s">
        <v>205</v>
      </c>
      <c r="E3" t="s">
        <v>202</v>
      </c>
      <c r="F3" t="s">
        <v>203</v>
      </c>
    </row>
    <row r="4" spans="1:6" x14ac:dyDescent="0.2">
      <c r="A4" s="7" t="s">
        <v>201</v>
      </c>
      <c r="B4" t="s">
        <v>202</v>
      </c>
      <c r="C4" t="s">
        <v>203</v>
      </c>
      <c r="E4" s="10">
        <v>16</v>
      </c>
      <c r="F4" s="10"/>
    </row>
    <row r="5" spans="1:6" x14ac:dyDescent="0.2">
      <c r="A5" s="8">
        <v>1</v>
      </c>
      <c r="B5" s="10">
        <v>16</v>
      </c>
      <c r="C5" s="10"/>
      <c r="E5" s="10">
        <v>41</v>
      </c>
      <c r="F5" s="10"/>
    </row>
    <row r="6" spans="1:6" x14ac:dyDescent="0.2">
      <c r="A6" s="8">
        <v>2</v>
      </c>
      <c r="B6" s="10">
        <v>41</v>
      </c>
      <c r="C6" s="10"/>
      <c r="E6" s="10"/>
      <c r="F6" s="10">
        <v>40</v>
      </c>
    </row>
    <row r="7" spans="1:6" x14ac:dyDescent="0.2">
      <c r="A7" s="8">
        <v>3</v>
      </c>
      <c r="B7" s="10"/>
      <c r="C7" s="10">
        <v>40</v>
      </c>
      <c r="E7" s="10"/>
      <c r="F7" s="10">
        <v>29</v>
      </c>
    </row>
    <row r="8" spans="1:6" x14ac:dyDescent="0.2">
      <c r="A8" s="8">
        <v>4</v>
      </c>
      <c r="B8" s="10"/>
      <c r="C8" s="10">
        <v>29</v>
      </c>
      <c r="E8" s="10">
        <v>26</v>
      </c>
      <c r="F8" s="10"/>
    </row>
    <row r="9" spans="1:6" x14ac:dyDescent="0.2">
      <c r="A9" s="8">
        <v>5</v>
      </c>
      <c r="B9" s="10">
        <v>26</v>
      </c>
      <c r="C9" s="10"/>
      <c r="E9" s="10"/>
      <c r="F9" s="10">
        <v>27</v>
      </c>
    </row>
    <row r="10" spans="1:6" x14ac:dyDescent="0.2">
      <c r="A10" s="8">
        <v>6</v>
      </c>
      <c r="B10" s="10"/>
      <c r="C10" s="10">
        <v>27</v>
      </c>
      <c r="E10" s="10"/>
      <c r="F10" s="10">
        <v>28</v>
      </c>
    </row>
    <row r="11" spans="1:6" x14ac:dyDescent="0.2">
      <c r="A11" s="8">
        <v>7</v>
      </c>
      <c r="B11" s="10"/>
      <c r="C11" s="10">
        <v>28</v>
      </c>
      <c r="E11" s="10"/>
      <c r="F11" s="10">
        <v>23</v>
      </c>
    </row>
    <row r="12" spans="1:6" x14ac:dyDescent="0.2">
      <c r="A12" s="8">
        <v>8</v>
      </c>
      <c r="B12" s="10"/>
      <c r="C12" s="10">
        <v>23</v>
      </c>
      <c r="E12" s="10"/>
      <c r="F12" s="10">
        <v>30</v>
      </c>
    </row>
    <row r="13" spans="1:6" x14ac:dyDescent="0.2">
      <c r="A13" s="8">
        <v>9</v>
      </c>
      <c r="B13" s="10"/>
      <c r="C13" s="10">
        <v>30</v>
      </c>
      <c r="E13" s="10"/>
      <c r="F13" s="10">
        <v>37</v>
      </c>
    </row>
    <row r="14" spans="1:6" x14ac:dyDescent="0.2">
      <c r="A14" s="8">
        <v>10</v>
      </c>
      <c r="B14" s="10">
        <v>0</v>
      </c>
      <c r="C14" s="10">
        <v>37</v>
      </c>
      <c r="E14" s="10">
        <v>33</v>
      </c>
      <c r="F14" s="10"/>
    </row>
    <row r="15" spans="1:6" x14ac:dyDescent="0.2">
      <c r="A15" s="8">
        <v>11</v>
      </c>
      <c r="B15" s="10">
        <v>33</v>
      </c>
      <c r="C15" s="10"/>
      <c r="E15" s="10"/>
      <c r="F15" s="10">
        <v>34</v>
      </c>
    </row>
    <row r="16" spans="1:6" x14ac:dyDescent="0.2">
      <c r="A16" s="8">
        <v>12</v>
      </c>
      <c r="B16" s="10"/>
      <c r="C16" s="10">
        <v>34</v>
      </c>
      <c r="E16" s="10">
        <v>22</v>
      </c>
      <c r="F16" s="10"/>
    </row>
    <row r="17" spans="1:6" x14ac:dyDescent="0.2">
      <c r="A17" s="8">
        <v>13</v>
      </c>
      <c r="B17" s="10">
        <v>22</v>
      </c>
      <c r="C17" s="10"/>
      <c r="E17" s="10"/>
      <c r="F17" s="10">
        <v>30</v>
      </c>
    </row>
    <row r="18" spans="1:6" x14ac:dyDescent="0.2">
      <c r="A18" s="8">
        <v>14</v>
      </c>
      <c r="B18" s="10"/>
      <c r="C18" s="10">
        <v>30</v>
      </c>
      <c r="E18" s="10">
        <v>28</v>
      </c>
      <c r="F18" s="10"/>
    </row>
    <row r="19" spans="1:6" x14ac:dyDescent="0.2">
      <c r="A19" s="8">
        <v>15</v>
      </c>
      <c r="B19" s="10">
        <v>28</v>
      </c>
      <c r="C19" s="10"/>
      <c r="E19" s="10"/>
      <c r="F19" s="10">
        <v>38</v>
      </c>
    </row>
    <row r="20" spans="1:6" x14ac:dyDescent="0.2">
      <c r="A20" s="8">
        <v>16</v>
      </c>
      <c r="B20" s="10"/>
      <c r="C20" s="10">
        <v>38</v>
      </c>
      <c r="E20" s="10">
        <v>27</v>
      </c>
      <c r="F20" s="10"/>
    </row>
    <row r="21" spans="1:6" x14ac:dyDescent="0.2">
      <c r="A21" s="8">
        <v>17</v>
      </c>
      <c r="B21" s="10">
        <v>27</v>
      </c>
      <c r="C21" s="10"/>
      <c r="E21" s="10">
        <v>56</v>
      </c>
      <c r="F21" s="10"/>
    </row>
    <row r="22" spans="1:6" x14ac:dyDescent="0.2">
      <c r="A22" s="8">
        <v>18</v>
      </c>
      <c r="B22" s="10">
        <v>56</v>
      </c>
      <c r="C22" s="10"/>
      <c r="E22" s="10"/>
      <c r="F22" s="10">
        <v>48</v>
      </c>
    </row>
    <row r="23" spans="1:6" x14ac:dyDescent="0.2">
      <c r="A23" s="8">
        <v>19</v>
      </c>
      <c r="B23" s="10"/>
      <c r="C23" s="10">
        <v>48</v>
      </c>
      <c r="E23" s="10"/>
      <c r="F23" s="10">
        <v>16</v>
      </c>
    </row>
    <row r="24" spans="1:6" x14ac:dyDescent="0.2">
      <c r="A24" s="8">
        <v>20</v>
      </c>
      <c r="B24" s="10"/>
      <c r="C24" s="10">
        <v>16</v>
      </c>
      <c r="E24" s="10"/>
      <c r="F24" s="10">
        <v>20</v>
      </c>
    </row>
    <row r="25" spans="1:6" x14ac:dyDescent="0.2">
      <c r="A25" s="8">
        <v>21</v>
      </c>
      <c r="B25" s="10"/>
      <c r="C25" s="10">
        <v>20</v>
      </c>
      <c r="E25" s="10">
        <v>34</v>
      </c>
      <c r="F25" s="10"/>
    </row>
    <row r="26" spans="1:6" x14ac:dyDescent="0.2">
      <c r="A26" s="8">
        <v>22</v>
      </c>
      <c r="B26" s="10">
        <v>34</v>
      </c>
      <c r="C26" s="10"/>
      <c r="E26" s="10"/>
      <c r="F26" s="10">
        <v>27</v>
      </c>
    </row>
    <row r="27" spans="1:6" x14ac:dyDescent="0.2">
      <c r="A27" s="8">
        <v>23</v>
      </c>
      <c r="B27" s="10"/>
      <c r="C27" s="10">
        <v>27</v>
      </c>
      <c r="E27" s="10"/>
      <c r="F27" s="10">
        <v>32</v>
      </c>
    </row>
    <row r="28" spans="1:6" x14ac:dyDescent="0.2">
      <c r="A28" s="8">
        <v>24</v>
      </c>
      <c r="B28" s="10"/>
      <c r="C28" s="10">
        <v>32</v>
      </c>
      <c r="E28" s="10">
        <v>25</v>
      </c>
      <c r="F28" s="10"/>
    </row>
    <row r="29" spans="1:6" x14ac:dyDescent="0.2">
      <c r="A29" s="8">
        <v>25</v>
      </c>
      <c r="B29" s="10">
        <v>25</v>
      </c>
      <c r="C29" s="10"/>
      <c r="E29" s="10">
        <v>27</v>
      </c>
      <c r="F29" s="10"/>
    </row>
    <row r="30" spans="1:6" x14ac:dyDescent="0.2">
      <c r="A30" s="8">
        <v>26</v>
      </c>
      <c r="B30" s="10">
        <v>27</v>
      </c>
      <c r="C30" s="10"/>
      <c r="E30" s="10"/>
      <c r="F30" s="10">
        <v>37</v>
      </c>
    </row>
    <row r="31" spans="1:6" x14ac:dyDescent="0.2">
      <c r="A31" s="8">
        <v>27</v>
      </c>
      <c r="B31" s="10"/>
      <c r="C31" s="10">
        <v>37</v>
      </c>
      <c r="E31" s="10"/>
      <c r="F31" s="10">
        <v>36</v>
      </c>
    </row>
    <row r="32" spans="1:6" x14ac:dyDescent="0.2">
      <c r="A32" s="8">
        <v>28</v>
      </c>
      <c r="B32" s="10"/>
      <c r="C32" s="10">
        <v>36</v>
      </c>
      <c r="E32" s="10"/>
      <c r="F32" s="10">
        <v>23</v>
      </c>
    </row>
    <row r="33" spans="1:6" x14ac:dyDescent="0.2">
      <c r="A33" s="8">
        <v>29</v>
      </c>
      <c r="B33" s="10"/>
      <c r="C33" s="10">
        <v>23</v>
      </c>
      <c r="E33" s="10">
        <v>41</v>
      </c>
      <c r="F33" s="10"/>
    </row>
    <row r="34" spans="1:6" x14ac:dyDescent="0.2">
      <c r="A34" s="8">
        <v>30</v>
      </c>
      <c r="B34" s="10">
        <v>41</v>
      </c>
      <c r="C34" s="10"/>
      <c r="E34" s="10"/>
      <c r="F34" s="10">
        <v>46</v>
      </c>
    </row>
    <row r="35" spans="1:6" x14ac:dyDescent="0.2">
      <c r="A35" s="8">
        <v>31</v>
      </c>
      <c r="B35" s="10">
        <v>0</v>
      </c>
      <c r="C35" s="10">
        <v>46</v>
      </c>
      <c r="E35" s="10"/>
      <c r="F35" s="10">
        <v>35</v>
      </c>
    </row>
    <row r="36" spans="1:6" x14ac:dyDescent="0.2">
      <c r="A36" s="8">
        <v>32</v>
      </c>
      <c r="B36" s="10"/>
      <c r="C36" s="10">
        <v>35</v>
      </c>
      <c r="E36" s="10"/>
      <c r="F36" s="10">
        <v>19</v>
      </c>
    </row>
    <row r="37" spans="1:6" x14ac:dyDescent="0.2">
      <c r="A37" s="8">
        <v>33</v>
      </c>
      <c r="B37" s="10"/>
      <c r="C37" s="10">
        <v>19</v>
      </c>
      <c r="E37" s="10"/>
      <c r="F37" s="10">
        <v>10</v>
      </c>
    </row>
    <row r="38" spans="1:6" x14ac:dyDescent="0.2">
      <c r="A38" s="8">
        <v>34</v>
      </c>
      <c r="B38" s="10">
        <v>0</v>
      </c>
      <c r="C38" s="10">
        <v>10</v>
      </c>
      <c r="E38" s="10"/>
      <c r="F38" s="10">
        <v>24</v>
      </c>
    </row>
    <row r="39" spans="1:6" x14ac:dyDescent="0.2">
      <c r="A39" s="8">
        <v>35</v>
      </c>
      <c r="B39" s="10"/>
      <c r="C39" s="10">
        <v>24</v>
      </c>
      <c r="E39" s="10"/>
      <c r="F39" s="10">
        <v>20</v>
      </c>
    </row>
    <row r="40" spans="1:6" x14ac:dyDescent="0.2">
      <c r="A40" s="8">
        <v>36</v>
      </c>
      <c r="B40" s="10"/>
      <c r="C40" s="10">
        <v>20</v>
      </c>
      <c r="E40" s="10"/>
      <c r="F40" s="10">
        <v>27</v>
      </c>
    </row>
    <row r="41" spans="1:6" x14ac:dyDescent="0.2">
      <c r="A41" s="8">
        <v>37</v>
      </c>
      <c r="B41" s="10"/>
      <c r="C41" s="10">
        <v>27</v>
      </c>
      <c r="E41" s="10"/>
      <c r="F41" s="10">
        <v>35</v>
      </c>
    </row>
    <row r="42" spans="1:6" x14ac:dyDescent="0.2">
      <c r="A42" s="8">
        <v>38</v>
      </c>
      <c r="B42" s="10"/>
      <c r="C42" s="10">
        <v>35</v>
      </c>
      <c r="E42" s="10">
        <v>20</v>
      </c>
      <c r="F42" s="10"/>
    </row>
    <row r="43" spans="1:6" x14ac:dyDescent="0.2">
      <c r="A43" s="8">
        <v>39</v>
      </c>
      <c r="B43" s="10">
        <v>20</v>
      </c>
      <c r="C43" s="10"/>
      <c r="E43" s="10">
        <v>33</v>
      </c>
      <c r="F43" s="10"/>
    </row>
    <row r="44" spans="1:6" x14ac:dyDescent="0.2">
      <c r="A44" s="8">
        <v>40</v>
      </c>
      <c r="B44" s="10">
        <v>33</v>
      </c>
      <c r="C44" s="10"/>
      <c r="E44" s="10">
        <v>17</v>
      </c>
      <c r="F44" s="10"/>
    </row>
    <row r="45" spans="1:6" x14ac:dyDescent="0.2">
      <c r="A45" s="8">
        <v>41</v>
      </c>
      <c r="B45" s="10">
        <v>17</v>
      </c>
      <c r="C45" s="10"/>
      <c r="E45" s="10"/>
      <c r="F45" s="10">
        <v>28</v>
      </c>
    </row>
    <row r="46" spans="1:6" x14ac:dyDescent="0.2">
      <c r="A46" s="8">
        <v>42</v>
      </c>
      <c r="B46" s="10"/>
      <c r="C46" s="10">
        <v>28</v>
      </c>
      <c r="E46" s="10"/>
      <c r="F46" s="10">
        <v>28</v>
      </c>
    </row>
    <row r="47" spans="1:6" x14ac:dyDescent="0.2">
      <c r="A47" s="8">
        <v>43</v>
      </c>
      <c r="B47" s="10"/>
      <c r="C47" s="10">
        <v>28</v>
      </c>
      <c r="E47" s="10"/>
      <c r="F47" s="10">
        <v>27</v>
      </c>
    </row>
    <row r="48" spans="1:6" x14ac:dyDescent="0.2">
      <c r="A48" s="8">
        <v>44</v>
      </c>
      <c r="B48" s="10"/>
      <c r="C48" s="10">
        <v>27</v>
      </c>
      <c r="E48" s="10"/>
      <c r="F48" s="10">
        <v>38</v>
      </c>
    </row>
    <row r="49" spans="1:6" x14ac:dyDescent="0.2">
      <c r="A49" s="8">
        <v>45</v>
      </c>
      <c r="B49" s="10"/>
      <c r="C49" s="10">
        <v>38</v>
      </c>
      <c r="E49" s="10"/>
      <c r="F49" s="10">
        <v>28</v>
      </c>
    </row>
    <row r="50" spans="1:6" x14ac:dyDescent="0.2">
      <c r="A50" s="8">
        <v>46</v>
      </c>
      <c r="B50" s="10"/>
      <c r="C50" s="10">
        <v>28</v>
      </c>
      <c r="E50" s="10"/>
      <c r="F50" s="10">
        <v>26</v>
      </c>
    </row>
    <row r="51" spans="1:6" x14ac:dyDescent="0.2">
      <c r="A51" s="8">
        <v>47</v>
      </c>
      <c r="B51" s="10"/>
      <c r="C51" s="10">
        <v>26</v>
      </c>
      <c r="E51" s="10"/>
      <c r="F51" s="10">
        <v>40</v>
      </c>
    </row>
    <row r="52" spans="1:6" x14ac:dyDescent="0.2">
      <c r="A52" s="8">
        <v>48</v>
      </c>
      <c r="B52" s="10"/>
      <c r="C52" s="10">
        <v>40</v>
      </c>
      <c r="E52" s="10"/>
      <c r="F52" s="10">
        <v>26</v>
      </c>
    </row>
    <row r="53" spans="1:6" x14ac:dyDescent="0.2">
      <c r="A53" s="8">
        <v>49</v>
      </c>
      <c r="B53" s="10"/>
      <c r="C53" s="10">
        <v>26</v>
      </c>
      <c r="E53" s="10"/>
      <c r="F53" s="10">
        <v>29</v>
      </c>
    </row>
    <row r="54" spans="1:6" x14ac:dyDescent="0.2">
      <c r="A54" s="8">
        <v>50</v>
      </c>
      <c r="B54" s="10"/>
      <c r="C54" s="10">
        <v>29</v>
      </c>
      <c r="E54" s="10">
        <v>12</v>
      </c>
      <c r="F54" s="10"/>
    </row>
    <row r="55" spans="1:6" x14ac:dyDescent="0.2">
      <c r="A55" s="8">
        <v>51</v>
      </c>
      <c r="B55" s="10">
        <v>12</v>
      </c>
      <c r="C55" s="10"/>
      <c r="E55" s="10"/>
      <c r="F55" s="10">
        <v>18</v>
      </c>
    </row>
    <row r="56" spans="1:6" x14ac:dyDescent="0.2">
      <c r="A56" s="8">
        <v>52</v>
      </c>
      <c r="B56" s="10"/>
      <c r="C56" s="10">
        <v>18</v>
      </c>
      <c r="E56" s="10">
        <v>32</v>
      </c>
      <c r="F56" s="10"/>
    </row>
    <row r="57" spans="1:6" x14ac:dyDescent="0.2">
      <c r="A57" s="8">
        <v>53</v>
      </c>
      <c r="B57" s="10">
        <v>32</v>
      </c>
      <c r="C57" s="10"/>
      <c r="E57" s="10"/>
      <c r="F57" s="10">
        <v>23</v>
      </c>
    </row>
    <row r="58" spans="1:6" x14ac:dyDescent="0.2">
      <c r="A58" s="8">
        <v>54</v>
      </c>
      <c r="B58" s="10"/>
      <c r="C58" s="10">
        <v>23</v>
      </c>
      <c r="E58" s="10">
        <v>20</v>
      </c>
      <c r="F58" s="10"/>
    </row>
    <row r="59" spans="1:6" x14ac:dyDescent="0.2">
      <c r="A59" s="8">
        <v>55</v>
      </c>
      <c r="B59" s="10">
        <v>20</v>
      </c>
      <c r="C59" s="10"/>
      <c r="E59" s="10"/>
      <c r="F59" s="10">
        <v>22</v>
      </c>
    </row>
    <row r="60" spans="1:6" x14ac:dyDescent="0.2">
      <c r="A60" s="8">
        <v>56</v>
      </c>
      <c r="B60" s="10"/>
      <c r="C60" s="10">
        <v>22</v>
      </c>
      <c r="E60" s="10"/>
      <c r="F60" s="10">
        <v>31</v>
      </c>
    </row>
    <row r="61" spans="1:6" x14ac:dyDescent="0.2">
      <c r="A61" s="8">
        <v>57</v>
      </c>
      <c r="B61" s="10"/>
      <c r="C61" s="10">
        <v>31</v>
      </c>
      <c r="E61" s="10">
        <v>24</v>
      </c>
      <c r="F61" s="10"/>
    </row>
    <row r="62" spans="1:6" x14ac:dyDescent="0.2">
      <c r="A62" s="8">
        <v>58</v>
      </c>
      <c r="B62" s="10">
        <v>24</v>
      </c>
      <c r="C62" s="10"/>
      <c r="E62" s="10"/>
      <c r="F62" s="10">
        <v>35</v>
      </c>
    </row>
    <row r="63" spans="1:6" x14ac:dyDescent="0.2">
      <c r="A63" s="8">
        <v>59</v>
      </c>
      <c r="B63" s="10"/>
      <c r="C63" s="10">
        <v>35</v>
      </c>
      <c r="E63" s="10">
        <v>34</v>
      </c>
      <c r="F63" s="10"/>
    </row>
    <row r="64" spans="1:6" x14ac:dyDescent="0.2">
      <c r="A64" s="8">
        <v>60</v>
      </c>
      <c r="B64" s="10">
        <v>34</v>
      </c>
      <c r="C64" s="10"/>
      <c r="E64" s="10"/>
      <c r="F64" s="10">
        <v>28</v>
      </c>
    </row>
    <row r="65" spans="1:6" x14ac:dyDescent="0.2">
      <c r="A65" s="8">
        <v>61</v>
      </c>
      <c r="B65" s="10"/>
      <c r="C65" s="10">
        <v>28</v>
      </c>
      <c r="E65" s="10">
        <v>40</v>
      </c>
      <c r="F65" s="10"/>
    </row>
    <row r="66" spans="1:6" x14ac:dyDescent="0.2">
      <c r="A66" s="8">
        <v>62</v>
      </c>
      <c r="B66" s="10">
        <v>40</v>
      </c>
      <c r="C66" s="10">
        <v>0</v>
      </c>
      <c r="E66" s="10"/>
      <c r="F66" s="10">
        <v>39</v>
      </c>
    </row>
    <row r="67" spans="1:6" x14ac:dyDescent="0.2">
      <c r="A67" s="8">
        <v>63</v>
      </c>
      <c r="B67" s="10"/>
      <c r="C67" s="10">
        <v>39</v>
      </c>
      <c r="E67" s="10"/>
      <c r="F67" s="10">
        <v>27</v>
      </c>
    </row>
    <row r="68" spans="1:6" x14ac:dyDescent="0.2">
      <c r="A68" s="8">
        <v>64</v>
      </c>
      <c r="B68" s="10"/>
      <c r="C68" s="10">
        <v>27</v>
      </c>
      <c r="E68" s="10">
        <v>61</v>
      </c>
      <c r="F68" s="10"/>
    </row>
    <row r="69" spans="1:6" x14ac:dyDescent="0.2">
      <c r="A69" s="8">
        <v>65</v>
      </c>
      <c r="B69" s="10">
        <v>61</v>
      </c>
      <c r="C69" s="10"/>
      <c r="E69" s="10">
        <v>33</v>
      </c>
      <c r="F69" s="10"/>
    </row>
    <row r="70" spans="1:6" x14ac:dyDescent="0.2">
      <c r="A70" s="8">
        <v>66</v>
      </c>
      <c r="B70" s="10">
        <v>33</v>
      </c>
      <c r="C70" s="10"/>
      <c r="E70" s="10">
        <v>41</v>
      </c>
      <c r="F70" s="10"/>
    </row>
    <row r="71" spans="1:6" x14ac:dyDescent="0.2">
      <c r="A71" s="8">
        <v>67</v>
      </c>
      <c r="B71" s="10">
        <v>41</v>
      </c>
      <c r="C71" s="10"/>
      <c r="E71" s="10"/>
      <c r="F71" s="10">
        <v>20</v>
      </c>
    </row>
    <row r="72" spans="1:6" x14ac:dyDescent="0.2">
      <c r="A72" s="8">
        <v>68</v>
      </c>
      <c r="B72" s="10"/>
      <c r="C72" s="10">
        <v>20</v>
      </c>
      <c r="E72" s="10"/>
      <c r="F72" s="10">
        <v>26</v>
      </c>
    </row>
    <row r="73" spans="1:6" x14ac:dyDescent="0.2">
      <c r="A73" s="8">
        <v>69</v>
      </c>
      <c r="B73" s="10"/>
      <c r="C73" s="10">
        <v>26</v>
      </c>
      <c r="E73" s="10"/>
      <c r="F73" s="10">
        <v>18</v>
      </c>
    </row>
    <row r="74" spans="1:6" x14ac:dyDescent="0.2">
      <c r="A74" s="8">
        <v>70</v>
      </c>
      <c r="B74" s="10"/>
      <c r="C74" s="10">
        <v>18</v>
      </c>
    </row>
    <row r="75" spans="1:6" x14ac:dyDescent="0.2">
      <c r="A75" s="8" t="s">
        <v>204</v>
      </c>
      <c r="B75" s="10">
        <v>743</v>
      </c>
      <c r="C75" s="10">
        <v>1328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A6489-7953-E241-91F6-209059E469CF}">
  <dimension ref="B2:D14"/>
  <sheetViews>
    <sheetView workbookViewId="0">
      <selection activeCell="R24" sqref="R24"/>
    </sheetView>
  </sheetViews>
  <sheetFormatPr baseColWidth="10" defaultRowHeight="16" x14ac:dyDescent="0.2"/>
  <cols>
    <col min="1" max="1" width="2.7109375" customWidth="1"/>
    <col min="2" max="2" width="14" bestFit="1" customWidth="1"/>
  </cols>
  <sheetData>
    <row r="2" spans="2:4" x14ac:dyDescent="0.2">
      <c r="B2" s="9" t="s">
        <v>213</v>
      </c>
      <c r="C2" s="58" t="s">
        <v>203</v>
      </c>
      <c r="D2" s="58" t="s">
        <v>202</v>
      </c>
    </row>
    <row r="3" spans="2:4" x14ac:dyDescent="0.2">
      <c r="B3" s="8" t="s">
        <v>218</v>
      </c>
      <c r="C3" s="57">
        <v>10.239130434782609</v>
      </c>
      <c r="D3" s="57">
        <v>9.2083333333333339</v>
      </c>
    </row>
    <row r="4" spans="2:4" x14ac:dyDescent="0.2">
      <c r="B4" s="8" t="s">
        <v>215</v>
      </c>
      <c r="C4" s="57">
        <v>0.71739130434782605</v>
      </c>
      <c r="D4" s="57">
        <v>0.5</v>
      </c>
    </row>
    <row r="5" spans="2:4" x14ac:dyDescent="0.2">
      <c r="B5" s="8" t="s">
        <v>219</v>
      </c>
      <c r="C5" s="57">
        <v>1.9565217391304348</v>
      </c>
      <c r="D5" s="57">
        <v>1.5416666666666667</v>
      </c>
    </row>
    <row r="6" spans="2:4" x14ac:dyDescent="0.2">
      <c r="B6" s="8" t="s">
        <v>214</v>
      </c>
      <c r="C6" s="57">
        <v>2.2608695652173911</v>
      </c>
      <c r="D6" s="57">
        <v>2.3333333333333335</v>
      </c>
    </row>
    <row r="11" spans="2:4" x14ac:dyDescent="0.2">
      <c r="B11" s="9" t="s">
        <v>213</v>
      </c>
      <c r="C11" s="58" t="s">
        <v>203</v>
      </c>
      <c r="D11" s="58" t="s">
        <v>202</v>
      </c>
    </row>
    <row r="12" spans="2:4" x14ac:dyDescent="0.2">
      <c r="B12" s="8" t="s">
        <v>212</v>
      </c>
      <c r="C12" s="60">
        <v>0.29134782608695653</v>
      </c>
      <c r="D12" s="60">
        <v>0.26620833333333344</v>
      </c>
    </row>
    <row r="13" spans="2:4" x14ac:dyDescent="0.2">
      <c r="B13" s="8" t="s">
        <v>216</v>
      </c>
      <c r="C13" s="60">
        <v>1.6543478260869569E-2</v>
      </c>
      <c r="D13" s="60">
        <v>1.1958333333333335E-2</v>
      </c>
    </row>
    <row r="14" spans="2:4" x14ac:dyDescent="0.2">
      <c r="B14" s="8" t="s">
        <v>217</v>
      </c>
      <c r="C14" s="60">
        <v>2.6021739130434783E-2</v>
      </c>
      <c r="D14" s="60">
        <v>1.9666666666666676E-2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1 - Cover Page</vt:lpstr>
      <vt:lpstr>2 - PointsScatter</vt:lpstr>
      <vt:lpstr>3 - Data Collection</vt:lpstr>
      <vt:lpstr>4 - WinLoss Comparison</vt:lpstr>
      <vt:lpstr>5 - Regression</vt:lpstr>
      <vt:lpstr>6 - Conclusion</vt:lpstr>
      <vt:lpstr>Abbrev. Approach</vt:lpstr>
      <vt:lpstr>    #StatsTable</vt:lpstr>
      <vt:lpstr>#PlusMinus v. DRtg</vt:lpstr>
      <vt:lpstr>#AdvStatsExplained</vt:lpstr>
      <vt:lpstr>PivotTable</vt:lpstr>
      <vt:lpstr>DefVisual</vt:lpstr>
      <vt:lpstr>AdvancedStats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Adrien Barnes</dc:creator>
  <cp:lastModifiedBy>Adrien Barnes</cp:lastModifiedBy>
  <dcterms:created xsi:type="dcterms:W3CDTF">2025-12-18T02:58:23Z</dcterms:created>
  <dcterms:modified xsi:type="dcterms:W3CDTF">2025-12-19T08:37:35Z</dcterms:modified>
</cp:coreProperties>
</file>